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3BF329269AD052/Desktop/PsychoPy/data/"/>
    </mc:Choice>
  </mc:AlternateContent>
  <xr:revisionPtr revIDLastSave="0" documentId="8_{D1C1D93E-0DB5-47BE-9031-3EE1496BF838}" xr6:coauthVersionLast="47" xr6:coauthVersionMax="47" xr10:uidLastSave="{00000000-0000-0000-0000-000000000000}"/>
  <bookViews>
    <workbookView xWindow="-108" yWindow="-108" windowWidth="23256" windowHeight="12456" activeTab="1" xr2:uid="{8DBEEAAF-F240-47D0-8D0A-72407563429D}"/>
  </bookViews>
  <sheets>
    <sheet name="A1_tutorial_2_2026-09-27_22h21.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2" l="1"/>
  <c r="O4" i="2"/>
  <c r="O3" i="2"/>
  <c r="O2" i="2"/>
</calcChain>
</file>

<file path=xl/sharedStrings.xml><?xml version="1.0" encoding="utf-8"?>
<sst xmlns="http://schemas.openxmlformats.org/spreadsheetml/2006/main" count="1056" uniqueCount="57">
  <si>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</si>
  <si>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</si>
  <si>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</si>
  <si>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</si>
  <si>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</si>
  <si>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</si>
  <si>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</si>
  <si>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</si>
  <si>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</si>
  <si>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</si>
  <si>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</si>
  <si>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</si>
  <si>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</si>
  <si>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</si>
  <si>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</si>
  <si>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trial.started</t>
  </si>
  <si>
    <t>fixation.started</t>
  </si>
  <si>
    <t>fixation.stopped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</si>
  <si>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</si>
  <si>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</si>
  <si>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</si>
  <si>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</si>
  <si>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</si>
  <si>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</si>
  <si>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</si>
  <si>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</si>
  <si>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</si>
  <si>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</si>
  <si>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</si>
  <si>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</si>
  <si>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</si>
  <si>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</si>
  <si>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</si>
  <si>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</si>
  <si>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</si>
  <si>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A1</t>
  </si>
  <si>
    <t>2026-09-27_22h21.12.604</t>
  </si>
  <si>
    <t>tutorial_2</t>
  </si>
  <si>
    <t>2026.2.3</t>
  </si>
  <si>
    <t>2026-09-27 22h21.12.634898 +0530</t>
  </si>
  <si>
    <t>down</t>
  </si>
  <si>
    <t>HIT</t>
  </si>
  <si>
    <t>MISS</t>
  </si>
  <si>
    <t>FALSE ALARM</t>
  </si>
  <si>
    <t>CORRECT REJECTION</t>
  </si>
  <si>
    <t>prop fa = fa/fa+corr rejection</t>
  </si>
  <si>
    <t>Signal Present</t>
  </si>
  <si>
    <t>Signal Absent</t>
  </si>
  <si>
    <t>Respond YES</t>
  </si>
  <si>
    <t>Respond NO</t>
  </si>
  <si>
    <t>Hit</t>
  </si>
  <si>
    <t>Miss</t>
  </si>
  <si>
    <t>False Alarm</t>
  </si>
  <si>
    <t>Correct Rejection</t>
  </si>
  <si>
    <t>d-prime = z(prop hit) -z(prop fa)</t>
  </si>
  <si>
    <t>c = -z(prop hit) + z(prop fa)/2</t>
  </si>
  <si>
    <t>prop hit = hit/hit+miss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</si>
</sst>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ECFE-D1DF-49CC-8165-6D4568520A23}">
  <dimension ref="A1:AG101"/>
  <sheetViews>
    <sheetView workbookViewId="0">
      <selection activeCell="H1" sqref="H1:H1048576"/>
    </sheetView>
  </sheetViews>
  <sheetFormatPr defaultRowHeight="14.4" x14ac:dyDescent="0.3"/>
  <cols>
    <col min="4" max="4" width="21.44140625" customWidth="1"/>
    <col min="5" max="5" width="17.4414062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0</v>
      </c>
      <c r="B2">
        <v>0</v>
      </c>
      <c r="C2">
        <v>0</v>
      </c>
      <c r="D2" t="s">
        <v>33</v>
      </c>
      <c r="E2">
        <v>0</v>
      </c>
      <c r="F2">
        <v>0.91643939993809898</v>
      </c>
      <c r="G2" t="s">
        <v>34</v>
      </c>
      <c r="H2">
        <v>-2</v>
      </c>
      <c r="I2">
        <v>0</v>
      </c>
      <c r="J2">
        <v>0</v>
      </c>
      <c r="K2">
        <v>0</v>
      </c>
      <c r="L2">
        <v>0</v>
      </c>
      <c r="M2">
        <v>6.5733999945223297E-3</v>
      </c>
      <c r="O2" t="b">
        <v>0</v>
      </c>
      <c r="P2">
        <v>3.8825999945402102E-3</v>
      </c>
      <c r="Q2">
        <v>6.5733999945223297E-3</v>
      </c>
      <c r="R2">
        <v>1.01090890006162</v>
      </c>
      <c r="S2">
        <v>1.01090890006162</v>
      </c>
      <c r="T2">
        <v>1.93496800004504</v>
      </c>
      <c r="U2" t="s">
        <v>33</v>
      </c>
      <c r="V2">
        <v>0</v>
      </c>
      <c r="W2">
        <v>0.91643939993809898</v>
      </c>
      <c r="X2" t="s">
        <v>34</v>
      </c>
      <c r="Y2">
        <v>-2</v>
      </c>
      <c r="Z2" t="s">
        <v>35</v>
      </c>
      <c r="AA2">
        <v>1</v>
      </c>
      <c r="AB2" t="s">
        <v>36</v>
      </c>
      <c r="AC2" t="s">
        <v>37</v>
      </c>
      <c r="AE2" t="s">
        <v>38</v>
      </c>
      <c r="AF2">
        <v>59.972964177374401</v>
      </c>
      <c r="AG2" t="s">
        <v>39</v>
      </c>
    </row>
    <row r="3" spans="1:33" x14ac:dyDescent="0.3">
      <c r="A3">
        <v>1</v>
      </c>
      <c r="B3">
        <v>0</v>
      </c>
      <c r="C3">
        <v>1</v>
      </c>
      <c r="D3" t="s">
        <v>40</v>
      </c>
      <c r="E3">
        <v>1</v>
      </c>
      <c r="F3">
        <v>0.59082039992790603</v>
      </c>
      <c r="G3" t="s">
        <v>34</v>
      </c>
      <c r="H3">
        <v>2</v>
      </c>
      <c r="I3">
        <v>1</v>
      </c>
      <c r="J3">
        <v>0</v>
      </c>
      <c r="K3">
        <v>1</v>
      </c>
      <c r="L3">
        <v>0</v>
      </c>
      <c r="M3">
        <v>1.94404129998292</v>
      </c>
      <c r="P3">
        <v>1.93514110008254</v>
      </c>
      <c r="Q3">
        <v>1.94404129998292</v>
      </c>
      <c r="R3">
        <v>2.9442362000700002</v>
      </c>
      <c r="S3">
        <v>2.9442362000700002</v>
      </c>
      <c r="T3">
        <v>3.5446138000115699</v>
      </c>
      <c r="U3" t="s">
        <v>40</v>
      </c>
      <c r="V3">
        <v>1</v>
      </c>
      <c r="W3">
        <v>0.59082039992790603</v>
      </c>
      <c r="X3" t="s">
        <v>34</v>
      </c>
      <c r="Y3">
        <v>2</v>
      </c>
      <c r="Z3" t="s">
        <v>35</v>
      </c>
      <c r="AA3">
        <v>1</v>
      </c>
      <c r="AB3" t="s">
        <v>36</v>
      </c>
      <c r="AC3" t="s">
        <v>37</v>
      </c>
      <c r="AE3" t="s">
        <v>38</v>
      </c>
      <c r="AF3">
        <v>59.972964177374401</v>
      </c>
      <c r="AG3" t="s">
        <v>39</v>
      </c>
    </row>
    <row r="4" spans="1:33" x14ac:dyDescent="0.3">
      <c r="A4">
        <v>2</v>
      </c>
      <c r="B4">
        <v>0</v>
      </c>
      <c r="C4">
        <v>2</v>
      </c>
      <c r="D4" t="s">
        <v>33</v>
      </c>
      <c r="E4">
        <v>1</v>
      </c>
      <c r="F4">
        <v>0.35990120004862503</v>
      </c>
      <c r="G4" t="s">
        <v>34</v>
      </c>
      <c r="H4">
        <v>0</v>
      </c>
      <c r="I4">
        <v>2</v>
      </c>
      <c r="J4">
        <v>0</v>
      </c>
      <c r="K4">
        <v>2</v>
      </c>
      <c r="L4">
        <v>0</v>
      </c>
      <c r="M4">
        <v>3.5609069999773002</v>
      </c>
      <c r="P4">
        <v>3.5447581000625998</v>
      </c>
      <c r="Q4">
        <v>3.5609069999773002</v>
      </c>
      <c r="R4">
        <v>4.5610878000734303</v>
      </c>
      <c r="S4">
        <v>4.5445140000665498</v>
      </c>
      <c r="T4">
        <v>4.9111468000337402</v>
      </c>
      <c r="U4" t="s">
        <v>33</v>
      </c>
      <c r="V4">
        <v>1</v>
      </c>
      <c r="W4">
        <v>0.35990120004862503</v>
      </c>
      <c r="X4" t="s">
        <v>34</v>
      </c>
      <c r="Y4">
        <v>0</v>
      </c>
      <c r="Z4" t="s">
        <v>35</v>
      </c>
      <c r="AA4">
        <v>1</v>
      </c>
      <c r="AB4" t="s">
        <v>36</v>
      </c>
      <c r="AC4" t="s">
        <v>37</v>
      </c>
      <c r="AE4" t="s">
        <v>38</v>
      </c>
      <c r="AF4">
        <v>59.972964177374401</v>
      </c>
      <c r="AG4" t="s">
        <v>39</v>
      </c>
    </row>
    <row r="5" spans="1:33" x14ac:dyDescent="0.3">
      <c r="A5">
        <v>3</v>
      </c>
      <c r="B5">
        <v>0</v>
      </c>
      <c r="C5">
        <v>3</v>
      </c>
      <c r="D5" t="s">
        <v>33</v>
      </c>
      <c r="E5">
        <v>0</v>
      </c>
      <c r="F5">
        <v>0.55245810002088502</v>
      </c>
      <c r="G5" t="s">
        <v>34</v>
      </c>
      <c r="H5">
        <v>1</v>
      </c>
      <c r="I5">
        <v>3</v>
      </c>
      <c r="J5">
        <v>0</v>
      </c>
      <c r="K5">
        <v>3</v>
      </c>
      <c r="L5">
        <v>0</v>
      </c>
      <c r="M5">
        <v>4.9275191000197003</v>
      </c>
      <c r="P5">
        <v>4.9112977000186202</v>
      </c>
      <c r="Q5">
        <v>4.9275191000197003</v>
      </c>
      <c r="R5">
        <v>5.9276304000522897</v>
      </c>
      <c r="S5">
        <v>5.9111992999678398</v>
      </c>
      <c r="T5">
        <v>6.4775966000743201</v>
      </c>
      <c r="U5" t="s">
        <v>33</v>
      </c>
      <c r="V5">
        <v>0</v>
      </c>
      <c r="W5">
        <v>0.55245810002088502</v>
      </c>
      <c r="X5" t="s">
        <v>34</v>
      </c>
      <c r="Y5">
        <v>1</v>
      </c>
      <c r="Z5" t="s">
        <v>35</v>
      </c>
      <c r="AA5">
        <v>1</v>
      </c>
      <c r="AB5" t="s">
        <v>36</v>
      </c>
      <c r="AC5" t="s">
        <v>37</v>
      </c>
      <c r="AE5" t="s">
        <v>38</v>
      </c>
      <c r="AF5">
        <v>59.972964177374401</v>
      </c>
      <c r="AG5" t="s">
        <v>39</v>
      </c>
    </row>
    <row r="6" spans="1:33" x14ac:dyDescent="0.3">
      <c r="A6">
        <v>4</v>
      </c>
      <c r="B6">
        <v>0</v>
      </c>
      <c r="C6">
        <v>4</v>
      </c>
      <c r="D6" t="s">
        <v>33</v>
      </c>
      <c r="E6">
        <v>1</v>
      </c>
      <c r="F6">
        <v>0.36578789993654898</v>
      </c>
      <c r="G6" t="s">
        <v>34</v>
      </c>
      <c r="H6">
        <v>0</v>
      </c>
      <c r="I6">
        <v>4</v>
      </c>
      <c r="J6">
        <v>0</v>
      </c>
      <c r="K6">
        <v>4</v>
      </c>
      <c r="L6">
        <v>0</v>
      </c>
      <c r="M6">
        <v>6.4939049000386104</v>
      </c>
      <c r="P6">
        <v>6.4777207999722997</v>
      </c>
      <c r="Q6">
        <v>6.4939049000386104</v>
      </c>
      <c r="R6">
        <v>7.4940771000692603</v>
      </c>
      <c r="S6">
        <v>7.4776481000007999</v>
      </c>
      <c r="T6">
        <v>7.8734998999862</v>
      </c>
      <c r="U6" t="s">
        <v>33</v>
      </c>
      <c r="V6">
        <v>1</v>
      </c>
      <c r="W6">
        <v>0.36578789993654898</v>
      </c>
      <c r="X6" t="s">
        <v>34</v>
      </c>
      <c r="Y6">
        <v>0</v>
      </c>
      <c r="Z6" t="s">
        <v>35</v>
      </c>
      <c r="AA6">
        <v>1</v>
      </c>
      <c r="AB6" t="s">
        <v>36</v>
      </c>
      <c r="AC6" t="s">
        <v>37</v>
      </c>
      <c r="AE6" t="s">
        <v>38</v>
      </c>
      <c r="AF6">
        <v>59.972964177374401</v>
      </c>
      <c r="AG6" t="s">
        <v>39</v>
      </c>
    </row>
    <row r="7" spans="1:33" x14ac:dyDescent="0.3">
      <c r="A7">
        <v>5</v>
      </c>
      <c r="B7">
        <v>0</v>
      </c>
      <c r="C7">
        <v>5</v>
      </c>
      <c r="D7" t="s">
        <v>33</v>
      </c>
      <c r="E7">
        <v>1</v>
      </c>
      <c r="F7">
        <v>0.38315619993954803</v>
      </c>
      <c r="G7" t="s">
        <v>34</v>
      </c>
      <c r="H7">
        <v>0</v>
      </c>
      <c r="I7">
        <v>5</v>
      </c>
      <c r="J7">
        <v>0</v>
      </c>
      <c r="K7">
        <v>5</v>
      </c>
      <c r="L7">
        <v>0</v>
      </c>
      <c r="M7">
        <v>7.8758977999677802</v>
      </c>
      <c r="P7">
        <v>7.8736313000554201</v>
      </c>
      <c r="Q7">
        <v>7.8758977999677802</v>
      </c>
      <c r="R7">
        <v>8.8774573999689892</v>
      </c>
      <c r="S7">
        <v>8.8774573999689892</v>
      </c>
      <c r="T7">
        <v>9.26116330001968</v>
      </c>
      <c r="U7" t="s">
        <v>33</v>
      </c>
      <c r="V7">
        <v>1</v>
      </c>
      <c r="W7">
        <v>0.38315619993954803</v>
      </c>
      <c r="X7" t="s">
        <v>34</v>
      </c>
      <c r="Y7">
        <v>0</v>
      </c>
      <c r="Z7" t="s">
        <v>35</v>
      </c>
      <c r="AA7">
        <v>1</v>
      </c>
      <c r="AB7" t="s">
        <v>36</v>
      </c>
      <c r="AC7" t="s">
        <v>37</v>
      </c>
      <c r="AE7" t="s">
        <v>38</v>
      </c>
      <c r="AF7">
        <v>59.972964177374401</v>
      </c>
      <c r="AG7" t="s">
        <v>39</v>
      </c>
    </row>
    <row r="8" spans="1:33" x14ac:dyDescent="0.3">
      <c r="A8">
        <v>6</v>
      </c>
      <c r="B8">
        <v>0</v>
      </c>
      <c r="C8">
        <v>6</v>
      </c>
      <c r="D8" t="s">
        <v>33</v>
      </c>
      <c r="E8">
        <v>0</v>
      </c>
      <c r="F8">
        <v>0.35651710000820402</v>
      </c>
      <c r="G8" t="s">
        <v>34</v>
      </c>
      <c r="H8">
        <v>0</v>
      </c>
      <c r="I8">
        <v>6</v>
      </c>
      <c r="J8">
        <v>0</v>
      </c>
      <c r="K8">
        <v>6</v>
      </c>
      <c r="L8">
        <v>0</v>
      </c>
      <c r="M8">
        <v>9.2768625000026006</v>
      </c>
      <c r="P8">
        <v>9.2613134999992308</v>
      </c>
      <c r="Q8">
        <v>9.2768625000026006</v>
      </c>
      <c r="R8">
        <v>10.2772382000694</v>
      </c>
      <c r="S8">
        <v>10.2614132000599</v>
      </c>
      <c r="T8">
        <v>10.6279521000105</v>
      </c>
      <c r="U8" t="s">
        <v>33</v>
      </c>
      <c r="V8">
        <v>0</v>
      </c>
      <c r="W8">
        <v>0.35651710000820402</v>
      </c>
      <c r="X8" t="s">
        <v>34</v>
      </c>
      <c r="Y8">
        <v>0</v>
      </c>
      <c r="Z8" t="s">
        <v>35</v>
      </c>
      <c r="AA8">
        <v>1</v>
      </c>
      <c r="AB8" t="s">
        <v>36</v>
      </c>
      <c r="AC8" t="s">
        <v>37</v>
      </c>
      <c r="AE8" t="s">
        <v>38</v>
      </c>
      <c r="AF8">
        <v>59.972964177374401</v>
      </c>
      <c r="AG8" t="s">
        <v>39</v>
      </c>
    </row>
    <row r="9" spans="1:33" x14ac:dyDescent="0.3">
      <c r="A9">
        <v>7</v>
      </c>
      <c r="B9">
        <v>0</v>
      </c>
      <c r="C9">
        <v>7</v>
      </c>
      <c r="D9" t="s">
        <v>40</v>
      </c>
      <c r="E9">
        <v>0</v>
      </c>
      <c r="F9">
        <v>0.63567009998951096</v>
      </c>
      <c r="G9" t="s">
        <v>34</v>
      </c>
      <c r="H9">
        <v>0</v>
      </c>
      <c r="I9">
        <v>7</v>
      </c>
      <c r="J9">
        <v>0</v>
      </c>
      <c r="K9">
        <v>7</v>
      </c>
      <c r="L9">
        <v>0</v>
      </c>
      <c r="M9">
        <v>10.644211300066599</v>
      </c>
      <c r="P9">
        <v>10.6280892000067</v>
      </c>
      <c r="Q9">
        <v>10.644211300066599</v>
      </c>
      <c r="R9">
        <v>11.644367799977701</v>
      </c>
      <c r="S9">
        <v>11.627777900081099</v>
      </c>
      <c r="T9">
        <v>12.2772590999957</v>
      </c>
      <c r="U9" t="s">
        <v>40</v>
      </c>
      <c r="V9">
        <v>0</v>
      </c>
      <c r="W9">
        <v>0.63567009998951096</v>
      </c>
      <c r="X9" t="s">
        <v>34</v>
      </c>
      <c r="Y9">
        <v>0</v>
      </c>
      <c r="Z9" t="s">
        <v>35</v>
      </c>
      <c r="AA9">
        <v>1</v>
      </c>
      <c r="AB9" t="s">
        <v>36</v>
      </c>
      <c r="AC9" t="s">
        <v>37</v>
      </c>
      <c r="AE9" t="s">
        <v>38</v>
      </c>
      <c r="AF9">
        <v>59.972964177374401</v>
      </c>
      <c r="AG9" t="s">
        <v>39</v>
      </c>
    </row>
    <row r="10" spans="1:33" x14ac:dyDescent="0.3">
      <c r="A10">
        <v>8</v>
      </c>
      <c r="B10">
        <v>0</v>
      </c>
      <c r="C10">
        <v>8</v>
      </c>
      <c r="D10" t="s">
        <v>40</v>
      </c>
      <c r="E10">
        <v>1</v>
      </c>
      <c r="F10">
        <v>1.10008879995439</v>
      </c>
      <c r="G10" t="s">
        <v>34</v>
      </c>
      <c r="H10">
        <v>1</v>
      </c>
      <c r="I10">
        <v>8</v>
      </c>
      <c r="J10">
        <v>0</v>
      </c>
      <c r="K10">
        <v>8</v>
      </c>
      <c r="L10">
        <v>0</v>
      </c>
      <c r="M10">
        <v>12.293322300072701</v>
      </c>
      <c r="P10">
        <v>12.27741650003</v>
      </c>
      <c r="Q10">
        <v>12.293322300072701</v>
      </c>
      <c r="R10">
        <v>13.2942194000352</v>
      </c>
      <c r="S10">
        <v>13.2777681000297</v>
      </c>
      <c r="T10">
        <v>14.3781990000279</v>
      </c>
      <c r="U10" t="s">
        <v>40</v>
      </c>
      <c r="V10">
        <v>1</v>
      </c>
      <c r="W10">
        <v>1.10008879995439</v>
      </c>
      <c r="X10" t="s">
        <v>34</v>
      </c>
      <c r="Y10">
        <v>1</v>
      </c>
      <c r="Z10" t="s">
        <v>35</v>
      </c>
      <c r="AA10">
        <v>1</v>
      </c>
      <c r="AB10" t="s">
        <v>36</v>
      </c>
      <c r="AC10" t="s">
        <v>37</v>
      </c>
      <c r="AE10" t="s">
        <v>38</v>
      </c>
      <c r="AF10">
        <v>59.972964177374401</v>
      </c>
      <c r="AG10" t="s">
        <v>39</v>
      </c>
    </row>
    <row r="11" spans="1:33" x14ac:dyDescent="0.3">
      <c r="A11">
        <v>9</v>
      </c>
      <c r="B11">
        <v>0</v>
      </c>
      <c r="C11">
        <v>9</v>
      </c>
      <c r="D11" t="s">
        <v>40</v>
      </c>
      <c r="E11">
        <v>1</v>
      </c>
      <c r="F11">
        <v>0.89426510001067006</v>
      </c>
      <c r="G11" t="s">
        <v>34</v>
      </c>
      <c r="H11">
        <v>-2</v>
      </c>
      <c r="I11">
        <v>9</v>
      </c>
      <c r="J11">
        <v>0</v>
      </c>
      <c r="K11">
        <v>9</v>
      </c>
      <c r="L11">
        <v>0</v>
      </c>
      <c r="M11">
        <v>14.394008300034301</v>
      </c>
      <c r="P11">
        <v>14.378351400024201</v>
      </c>
      <c r="Q11">
        <v>14.394008300034301</v>
      </c>
      <c r="R11">
        <v>15.3938747000647</v>
      </c>
      <c r="S11">
        <v>15.3776228000642</v>
      </c>
      <c r="T11">
        <v>16.2770530000561</v>
      </c>
      <c r="U11" t="s">
        <v>40</v>
      </c>
      <c r="V11">
        <v>1</v>
      </c>
      <c r="W11">
        <v>0.89426510001067006</v>
      </c>
      <c r="X11" t="s">
        <v>34</v>
      </c>
      <c r="Y11">
        <v>-2</v>
      </c>
      <c r="Z11" t="s">
        <v>35</v>
      </c>
      <c r="AA11">
        <v>1</v>
      </c>
      <c r="AB11" t="s">
        <v>36</v>
      </c>
      <c r="AC11" t="s">
        <v>37</v>
      </c>
      <c r="AE11" t="s">
        <v>38</v>
      </c>
      <c r="AF11">
        <v>59.972964177374401</v>
      </c>
      <c r="AG11" t="s">
        <v>39</v>
      </c>
    </row>
    <row r="12" spans="1:33" x14ac:dyDescent="0.3">
      <c r="A12">
        <v>10</v>
      </c>
      <c r="B12">
        <v>0</v>
      </c>
      <c r="C12">
        <v>10</v>
      </c>
      <c r="D12" t="s">
        <v>33</v>
      </c>
      <c r="E12">
        <v>0</v>
      </c>
      <c r="F12">
        <v>0.32118309999350397</v>
      </c>
      <c r="G12" t="s">
        <v>34</v>
      </c>
      <c r="H12">
        <v>2</v>
      </c>
      <c r="I12">
        <v>10</v>
      </c>
      <c r="J12">
        <v>0</v>
      </c>
      <c r="K12">
        <v>10</v>
      </c>
      <c r="L12">
        <v>0</v>
      </c>
      <c r="M12">
        <v>16.2941695000045</v>
      </c>
      <c r="P12">
        <v>16.277208800078299</v>
      </c>
      <c r="Q12">
        <v>16.2941695000045</v>
      </c>
      <c r="R12">
        <v>17.293599499971599</v>
      </c>
      <c r="S12">
        <v>17.277139700017798</v>
      </c>
      <c r="T12">
        <v>17.611449800082401</v>
      </c>
      <c r="U12" t="s">
        <v>33</v>
      </c>
      <c r="V12">
        <v>0</v>
      </c>
      <c r="W12">
        <v>0.32118309999350397</v>
      </c>
      <c r="X12" t="s">
        <v>34</v>
      </c>
      <c r="Y12">
        <v>2</v>
      </c>
      <c r="Z12" t="s">
        <v>35</v>
      </c>
      <c r="AA12">
        <v>1</v>
      </c>
      <c r="AB12" t="s">
        <v>36</v>
      </c>
      <c r="AC12" t="s">
        <v>37</v>
      </c>
      <c r="AE12" t="s">
        <v>38</v>
      </c>
      <c r="AF12">
        <v>59.972964177374401</v>
      </c>
      <c r="AG12" t="s">
        <v>39</v>
      </c>
    </row>
    <row r="13" spans="1:33" x14ac:dyDescent="0.3">
      <c r="A13">
        <v>11</v>
      </c>
      <c r="B13">
        <v>0</v>
      </c>
      <c r="C13">
        <v>11</v>
      </c>
      <c r="D13" t="s">
        <v>40</v>
      </c>
      <c r="E13">
        <v>1</v>
      </c>
      <c r="F13">
        <v>0.58391500008292496</v>
      </c>
      <c r="G13" t="s">
        <v>34</v>
      </c>
      <c r="H13">
        <v>-1</v>
      </c>
      <c r="I13">
        <v>11</v>
      </c>
      <c r="J13">
        <v>0</v>
      </c>
      <c r="K13">
        <v>11</v>
      </c>
      <c r="L13">
        <v>0</v>
      </c>
      <c r="M13">
        <v>17.626643600058699</v>
      </c>
      <c r="P13">
        <v>17.611582900048202</v>
      </c>
      <c r="Q13">
        <v>17.626643600058699</v>
      </c>
      <c r="R13">
        <v>18.6267771000275</v>
      </c>
      <c r="S13">
        <v>18.6267771000275</v>
      </c>
      <c r="T13">
        <v>19.211064100032601</v>
      </c>
      <c r="U13" t="s">
        <v>40</v>
      </c>
      <c r="V13">
        <v>1</v>
      </c>
      <c r="W13">
        <v>0.58391500008292496</v>
      </c>
      <c r="X13" t="s">
        <v>34</v>
      </c>
      <c r="Y13">
        <v>-1</v>
      </c>
      <c r="Z13" t="s">
        <v>35</v>
      </c>
      <c r="AA13">
        <v>1</v>
      </c>
      <c r="AB13" t="s">
        <v>36</v>
      </c>
      <c r="AC13" t="s">
        <v>37</v>
      </c>
      <c r="AE13" t="s">
        <v>38</v>
      </c>
      <c r="AF13">
        <v>59.972964177374401</v>
      </c>
      <c r="AG13" t="s">
        <v>39</v>
      </c>
    </row>
    <row r="14" spans="1:33" x14ac:dyDescent="0.3">
      <c r="A14">
        <v>12</v>
      </c>
      <c r="B14">
        <v>0</v>
      </c>
      <c r="C14">
        <v>12</v>
      </c>
      <c r="D14" t="s">
        <v>33</v>
      </c>
      <c r="E14">
        <v>1</v>
      </c>
      <c r="F14">
        <v>1.1958561000646999</v>
      </c>
      <c r="G14" t="s">
        <v>34</v>
      </c>
      <c r="H14">
        <v>0</v>
      </c>
      <c r="I14">
        <v>12</v>
      </c>
      <c r="J14">
        <v>0</v>
      </c>
      <c r="K14">
        <v>12</v>
      </c>
      <c r="L14">
        <v>0</v>
      </c>
      <c r="M14">
        <v>19.226769100059698</v>
      </c>
      <c r="P14">
        <v>19.211281000054399</v>
      </c>
      <c r="Q14">
        <v>19.226769100059698</v>
      </c>
      <c r="R14">
        <v>20.226789299980702</v>
      </c>
      <c r="S14">
        <v>20.210093099973101</v>
      </c>
      <c r="T14">
        <v>21.410314299981099</v>
      </c>
      <c r="U14" t="s">
        <v>33</v>
      </c>
      <c r="V14">
        <v>1</v>
      </c>
      <c r="W14">
        <v>1.1958561000646999</v>
      </c>
      <c r="X14" t="s">
        <v>34</v>
      </c>
      <c r="Y14">
        <v>0</v>
      </c>
      <c r="Z14" t="s">
        <v>35</v>
      </c>
      <c r="AA14">
        <v>1</v>
      </c>
      <c r="AB14" t="s">
        <v>36</v>
      </c>
      <c r="AC14" t="s">
        <v>37</v>
      </c>
      <c r="AE14" t="s">
        <v>38</v>
      </c>
      <c r="AF14">
        <v>59.972964177374401</v>
      </c>
      <c r="AG14" t="s">
        <v>39</v>
      </c>
    </row>
    <row r="15" spans="1:33" x14ac:dyDescent="0.3">
      <c r="A15">
        <v>13</v>
      </c>
      <c r="B15">
        <v>0</v>
      </c>
      <c r="C15">
        <v>13</v>
      </c>
      <c r="D15" t="s">
        <v>40</v>
      </c>
      <c r="E15">
        <v>1</v>
      </c>
      <c r="F15">
        <v>0.68441420001909103</v>
      </c>
      <c r="G15" t="s">
        <v>34</v>
      </c>
      <c r="H15">
        <v>4</v>
      </c>
      <c r="I15">
        <v>13</v>
      </c>
      <c r="J15">
        <v>0</v>
      </c>
      <c r="K15">
        <v>13</v>
      </c>
      <c r="L15">
        <v>0</v>
      </c>
      <c r="M15">
        <v>21.426998400012899</v>
      </c>
      <c r="P15">
        <v>21.4105580999748</v>
      </c>
      <c r="Q15">
        <v>21.426998400012899</v>
      </c>
      <c r="R15">
        <v>22.4271079000318</v>
      </c>
      <c r="S15">
        <v>22.4103614999912</v>
      </c>
      <c r="T15">
        <v>23.1107274000532</v>
      </c>
      <c r="U15" t="s">
        <v>40</v>
      </c>
      <c r="V15">
        <v>1</v>
      </c>
      <c r="W15">
        <v>0.68441420001909103</v>
      </c>
      <c r="X15" t="s">
        <v>34</v>
      </c>
      <c r="Y15">
        <v>4</v>
      </c>
      <c r="Z15" t="s">
        <v>35</v>
      </c>
      <c r="AA15">
        <v>1</v>
      </c>
      <c r="AB15" t="s">
        <v>36</v>
      </c>
      <c r="AC15" t="s">
        <v>37</v>
      </c>
      <c r="AE15" t="s">
        <v>38</v>
      </c>
      <c r="AF15">
        <v>59.972964177374401</v>
      </c>
      <c r="AG15" t="s">
        <v>39</v>
      </c>
    </row>
    <row r="16" spans="1:33" x14ac:dyDescent="0.3">
      <c r="A16">
        <v>14</v>
      </c>
      <c r="B16">
        <v>0</v>
      </c>
      <c r="C16">
        <v>14</v>
      </c>
      <c r="D16" t="s">
        <v>40</v>
      </c>
      <c r="E16">
        <v>1</v>
      </c>
      <c r="F16">
        <v>0.74802199995610796</v>
      </c>
      <c r="G16" t="s">
        <v>34</v>
      </c>
      <c r="H16">
        <v>-5</v>
      </c>
      <c r="I16">
        <v>14</v>
      </c>
      <c r="J16">
        <v>0</v>
      </c>
      <c r="K16">
        <v>14</v>
      </c>
      <c r="L16">
        <v>0</v>
      </c>
      <c r="M16">
        <v>23.126853800029401</v>
      </c>
      <c r="P16">
        <v>23.110879600048001</v>
      </c>
      <c r="Q16">
        <v>23.126853800029401</v>
      </c>
      <c r="R16">
        <v>24.1267693999689</v>
      </c>
      <c r="S16">
        <v>24.110065200016798</v>
      </c>
      <c r="T16">
        <v>24.8605230000102</v>
      </c>
      <c r="U16" t="s">
        <v>40</v>
      </c>
      <c r="V16">
        <v>1</v>
      </c>
      <c r="W16">
        <v>0.74802199995610796</v>
      </c>
      <c r="X16" t="s">
        <v>34</v>
      </c>
      <c r="Y16">
        <v>-5</v>
      </c>
      <c r="Z16" t="s">
        <v>35</v>
      </c>
      <c r="AA16">
        <v>1</v>
      </c>
      <c r="AB16" t="s">
        <v>36</v>
      </c>
      <c r="AC16" t="s">
        <v>37</v>
      </c>
      <c r="AE16" t="s">
        <v>38</v>
      </c>
      <c r="AF16">
        <v>59.972964177374401</v>
      </c>
      <c r="AG16" t="s">
        <v>39</v>
      </c>
    </row>
    <row r="17" spans="1:33" x14ac:dyDescent="0.3">
      <c r="A17">
        <v>15</v>
      </c>
      <c r="B17">
        <v>0</v>
      </c>
      <c r="C17">
        <v>15</v>
      </c>
      <c r="D17" t="s">
        <v>33</v>
      </c>
      <c r="E17">
        <v>1</v>
      </c>
      <c r="F17">
        <v>0.48229419998824502</v>
      </c>
      <c r="G17" t="s">
        <v>34</v>
      </c>
      <c r="H17">
        <v>0</v>
      </c>
      <c r="I17">
        <v>15</v>
      </c>
      <c r="J17">
        <v>0</v>
      </c>
      <c r="K17">
        <v>15</v>
      </c>
      <c r="L17">
        <v>0</v>
      </c>
      <c r="M17">
        <v>24.8769762000301</v>
      </c>
      <c r="P17">
        <v>24.860694800037798</v>
      </c>
      <c r="Q17">
        <v>24.8769762000301</v>
      </c>
      <c r="R17">
        <v>25.876808800035999</v>
      </c>
      <c r="S17">
        <v>25.860142300021799</v>
      </c>
      <c r="T17">
        <v>26.343953600036901</v>
      </c>
      <c r="U17" t="s">
        <v>33</v>
      </c>
      <c r="V17">
        <v>1</v>
      </c>
      <c r="W17">
        <v>0.48229419998824502</v>
      </c>
      <c r="X17" t="s">
        <v>34</v>
      </c>
      <c r="Y17">
        <v>0</v>
      </c>
      <c r="Z17" t="s">
        <v>35</v>
      </c>
      <c r="AA17">
        <v>1</v>
      </c>
      <c r="AB17" t="s">
        <v>36</v>
      </c>
      <c r="AC17" t="s">
        <v>37</v>
      </c>
      <c r="AE17" t="s">
        <v>38</v>
      </c>
      <c r="AF17">
        <v>59.972964177374401</v>
      </c>
      <c r="AG17" t="s">
        <v>39</v>
      </c>
    </row>
    <row r="18" spans="1:33" x14ac:dyDescent="0.3">
      <c r="A18">
        <v>16</v>
      </c>
      <c r="B18">
        <v>0</v>
      </c>
      <c r="C18">
        <v>16</v>
      </c>
      <c r="D18" t="s">
        <v>33</v>
      </c>
      <c r="E18">
        <v>0</v>
      </c>
      <c r="F18">
        <v>0.366496299975551</v>
      </c>
      <c r="G18" t="s">
        <v>34</v>
      </c>
      <c r="H18">
        <v>3</v>
      </c>
      <c r="I18">
        <v>16</v>
      </c>
      <c r="J18">
        <v>0</v>
      </c>
      <c r="K18">
        <v>16</v>
      </c>
      <c r="L18">
        <v>0</v>
      </c>
      <c r="M18">
        <v>26.3605204999912</v>
      </c>
      <c r="P18">
        <v>26.344095900072698</v>
      </c>
      <c r="Q18">
        <v>26.3605204999912</v>
      </c>
      <c r="R18">
        <v>27.3605430000461</v>
      </c>
      <c r="S18">
        <v>27.343723100028001</v>
      </c>
      <c r="T18">
        <v>27.710518900072199</v>
      </c>
      <c r="U18" t="s">
        <v>33</v>
      </c>
      <c r="V18">
        <v>0</v>
      </c>
      <c r="W18">
        <v>0.366496299975551</v>
      </c>
      <c r="X18" t="s">
        <v>34</v>
      </c>
      <c r="Y18">
        <v>3</v>
      </c>
      <c r="Z18" t="s">
        <v>35</v>
      </c>
      <c r="AA18">
        <v>1</v>
      </c>
      <c r="AB18" t="s">
        <v>36</v>
      </c>
      <c r="AC18" t="s">
        <v>37</v>
      </c>
      <c r="AE18" t="s">
        <v>38</v>
      </c>
      <c r="AF18">
        <v>59.972964177374401</v>
      </c>
      <c r="AG18" t="s">
        <v>39</v>
      </c>
    </row>
    <row r="19" spans="1:33" x14ac:dyDescent="0.3">
      <c r="A19">
        <v>17</v>
      </c>
      <c r="B19">
        <v>0</v>
      </c>
      <c r="C19">
        <v>17</v>
      </c>
      <c r="D19" t="s">
        <v>40</v>
      </c>
      <c r="E19">
        <v>0</v>
      </c>
      <c r="F19">
        <v>0.99706700001843196</v>
      </c>
      <c r="G19" t="s">
        <v>34</v>
      </c>
      <c r="H19">
        <v>0</v>
      </c>
      <c r="I19">
        <v>17</v>
      </c>
      <c r="J19">
        <v>0</v>
      </c>
      <c r="K19">
        <v>17</v>
      </c>
      <c r="L19">
        <v>0</v>
      </c>
      <c r="M19">
        <v>27.726548500009802</v>
      </c>
      <c r="P19">
        <v>27.710671800072301</v>
      </c>
      <c r="Q19">
        <v>27.726548500009802</v>
      </c>
      <c r="R19">
        <v>28.726871700025999</v>
      </c>
      <c r="S19">
        <v>28.710008500027399</v>
      </c>
      <c r="T19">
        <v>29.710489500081099</v>
      </c>
      <c r="U19" t="s">
        <v>40</v>
      </c>
      <c r="V19">
        <v>0</v>
      </c>
      <c r="W19">
        <v>0.99706700001843196</v>
      </c>
      <c r="X19" t="s">
        <v>34</v>
      </c>
      <c r="Y19">
        <v>0</v>
      </c>
      <c r="Z19" t="s">
        <v>35</v>
      </c>
      <c r="AA19">
        <v>1</v>
      </c>
      <c r="AB19" t="s">
        <v>36</v>
      </c>
      <c r="AC19" t="s">
        <v>37</v>
      </c>
      <c r="AE19" t="s">
        <v>38</v>
      </c>
      <c r="AF19">
        <v>59.972964177374401</v>
      </c>
      <c r="AG19" t="s">
        <v>39</v>
      </c>
    </row>
    <row r="20" spans="1:33" x14ac:dyDescent="0.3">
      <c r="A20">
        <v>18</v>
      </c>
      <c r="B20">
        <v>0</v>
      </c>
      <c r="C20">
        <v>18</v>
      </c>
      <c r="D20" t="s">
        <v>40</v>
      </c>
      <c r="E20">
        <v>1</v>
      </c>
      <c r="F20">
        <v>0.69973350001964696</v>
      </c>
      <c r="G20" t="s">
        <v>34</v>
      </c>
      <c r="H20">
        <v>-5</v>
      </c>
      <c r="I20">
        <v>18</v>
      </c>
      <c r="J20">
        <v>0</v>
      </c>
      <c r="K20">
        <v>18</v>
      </c>
      <c r="L20">
        <v>0</v>
      </c>
      <c r="M20">
        <v>29.7264461000449</v>
      </c>
      <c r="P20">
        <v>29.710638100048499</v>
      </c>
      <c r="Q20">
        <v>29.7264461000449</v>
      </c>
      <c r="R20">
        <v>30.726526200072801</v>
      </c>
      <c r="S20">
        <v>30.710631900001299</v>
      </c>
      <c r="T20">
        <v>31.4108272000448</v>
      </c>
      <c r="U20" t="s">
        <v>40</v>
      </c>
      <c r="V20">
        <v>1</v>
      </c>
      <c r="W20">
        <v>0.69973350001964696</v>
      </c>
      <c r="X20" t="s">
        <v>34</v>
      </c>
      <c r="Y20">
        <v>-5</v>
      </c>
      <c r="Z20" t="s">
        <v>35</v>
      </c>
      <c r="AA20">
        <v>1</v>
      </c>
      <c r="AB20" t="s">
        <v>36</v>
      </c>
      <c r="AC20" t="s">
        <v>37</v>
      </c>
      <c r="AE20" t="s">
        <v>38</v>
      </c>
      <c r="AF20">
        <v>59.972964177374401</v>
      </c>
      <c r="AG20" t="s">
        <v>39</v>
      </c>
    </row>
    <row r="21" spans="1:33" x14ac:dyDescent="0.3">
      <c r="A21">
        <v>19</v>
      </c>
      <c r="B21">
        <v>0</v>
      </c>
      <c r="C21">
        <v>19</v>
      </c>
      <c r="D21" t="s">
        <v>33</v>
      </c>
      <c r="E21">
        <v>1</v>
      </c>
      <c r="F21">
        <v>0.44584480009507299</v>
      </c>
      <c r="G21" t="s">
        <v>34</v>
      </c>
      <c r="H21">
        <v>0</v>
      </c>
      <c r="I21">
        <v>19</v>
      </c>
      <c r="J21">
        <v>0</v>
      </c>
      <c r="K21">
        <v>19</v>
      </c>
      <c r="L21">
        <v>0</v>
      </c>
      <c r="M21">
        <v>31.426820400054499</v>
      </c>
      <c r="P21">
        <v>31.410949800047</v>
      </c>
      <c r="Q21">
        <v>31.426820400054499</v>
      </c>
      <c r="R21">
        <v>32.427073400001902</v>
      </c>
      <c r="S21">
        <v>32.410185400047297</v>
      </c>
      <c r="T21">
        <v>32.860053000040303</v>
      </c>
      <c r="U21" t="s">
        <v>33</v>
      </c>
      <c r="V21">
        <v>1</v>
      </c>
      <c r="W21">
        <v>0.44584480009507299</v>
      </c>
      <c r="X21" t="s">
        <v>34</v>
      </c>
      <c r="Y21">
        <v>0</v>
      </c>
      <c r="Z21" t="s">
        <v>35</v>
      </c>
      <c r="AA21">
        <v>1</v>
      </c>
      <c r="AB21" t="s">
        <v>36</v>
      </c>
      <c r="AC21" t="s">
        <v>37</v>
      </c>
      <c r="AE21" t="s">
        <v>38</v>
      </c>
      <c r="AF21">
        <v>59.972964177374401</v>
      </c>
      <c r="AG21" t="s">
        <v>39</v>
      </c>
    </row>
    <row r="22" spans="1:33" x14ac:dyDescent="0.3">
      <c r="A22">
        <v>20</v>
      </c>
      <c r="B22">
        <v>0</v>
      </c>
      <c r="C22">
        <v>20</v>
      </c>
      <c r="D22" t="s">
        <v>33</v>
      </c>
      <c r="E22">
        <v>1</v>
      </c>
      <c r="F22">
        <v>0.41920470003969901</v>
      </c>
      <c r="G22" t="s">
        <v>34</v>
      </c>
      <c r="H22">
        <v>0</v>
      </c>
      <c r="I22">
        <v>20</v>
      </c>
      <c r="J22">
        <v>0</v>
      </c>
      <c r="K22">
        <v>20</v>
      </c>
      <c r="L22">
        <v>0</v>
      </c>
      <c r="M22">
        <v>32.876489100046399</v>
      </c>
      <c r="P22">
        <v>32.860226000076999</v>
      </c>
      <c r="Q22">
        <v>32.876489100046399</v>
      </c>
      <c r="R22">
        <v>33.877249300014199</v>
      </c>
      <c r="S22">
        <v>33.859690900077098</v>
      </c>
      <c r="T22">
        <v>34.295881900005</v>
      </c>
      <c r="U22" t="s">
        <v>33</v>
      </c>
      <c r="V22">
        <v>1</v>
      </c>
      <c r="W22">
        <v>0.41920470003969901</v>
      </c>
      <c r="X22" t="s">
        <v>34</v>
      </c>
      <c r="Y22">
        <v>0</v>
      </c>
      <c r="Z22" t="s">
        <v>35</v>
      </c>
      <c r="AA22">
        <v>1</v>
      </c>
      <c r="AB22" t="s">
        <v>36</v>
      </c>
      <c r="AC22" t="s">
        <v>37</v>
      </c>
      <c r="AE22" t="s">
        <v>38</v>
      </c>
      <c r="AF22">
        <v>59.972964177374401</v>
      </c>
      <c r="AG22" t="s">
        <v>39</v>
      </c>
    </row>
    <row r="23" spans="1:33" x14ac:dyDescent="0.3">
      <c r="A23">
        <v>21</v>
      </c>
      <c r="B23">
        <v>0</v>
      </c>
      <c r="C23">
        <v>21</v>
      </c>
      <c r="D23" t="s">
        <v>40</v>
      </c>
      <c r="E23">
        <v>1</v>
      </c>
      <c r="F23">
        <v>0.451823299983516</v>
      </c>
      <c r="G23" t="s">
        <v>34</v>
      </c>
      <c r="H23">
        <v>-5</v>
      </c>
      <c r="I23">
        <v>21</v>
      </c>
      <c r="J23">
        <v>0</v>
      </c>
      <c r="K23">
        <v>21</v>
      </c>
      <c r="L23">
        <v>0</v>
      </c>
      <c r="M23">
        <v>34.311216700007201</v>
      </c>
      <c r="P23">
        <v>34.296019000001202</v>
      </c>
      <c r="Q23">
        <v>34.311216700007201</v>
      </c>
      <c r="R23">
        <v>35.310523000080103</v>
      </c>
      <c r="S23">
        <v>35.310523000080103</v>
      </c>
      <c r="T23">
        <v>35.777025200077297</v>
      </c>
      <c r="U23" t="s">
        <v>40</v>
      </c>
      <c r="V23">
        <v>1</v>
      </c>
      <c r="W23">
        <v>0.451823299983516</v>
      </c>
      <c r="X23" t="s">
        <v>34</v>
      </c>
      <c r="Y23">
        <v>-5</v>
      </c>
      <c r="Z23" t="s">
        <v>35</v>
      </c>
      <c r="AA23">
        <v>1</v>
      </c>
      <c r="AB23" t="s">
        <v>36</v>
      </c>
      <c r="AC23" t="s">
        <v>37</v>
      </c>
      <c r="AE23" t="s">
        <v>38</v>
      </c>
      <c r="AF23">
        <v>59.972964177374401</v>
      </c>
      <c r="AG23" t="s">
        <v>39</v>
      </c>
    </row>
    <row r="24" spans="1:33" x14ac:dyDescent="0.3">
      <c r="A24">
        <v>22</v>
      </c>
      <c r="B24">
        <v>0</v>
      </c>
      <c r="C24">
        <v>22</v>
      </c>
      <c r="D24" t="s">
        <v>33</v>
      </c>
      <c r="E24">
        <v>1</v>
      </c>
      <c r="F24">
        <v>0.84947070002090097</v>
      </c>
      <c r="G24" t="s">
        <v>34</v>
      </c>
      <c r="H24">
        <v>0</v>
      </c>
      <c r="I24">
        <v>22</v>
      </c>
      <c r="J24">
        <v>0</v>
      </c>
      <c r="K24">
        <v>22</v>
      </c>
      <c r="L24">
        <v>0</v>
      </c>
      <c r="M24">
        <v>35.793897900031801</v>
      </c>
      <c r="P24">
        <v>35.777152399998101</v>
      </c>
      <c r="Q24">
        <v>35.793897900031801</v>
      </c>
      <c r="R24">
        <v>36.7932460000738</v>
      </c>
      <c r="S24">
        <v>36.777271399972904</v>
      </c>
      <c r="T24">
        <v>37.627974500064703</v>
      </c>
      <c r="U24" t="s">
        <v>33</v>
      </c>
      <c r="V24">
        <v>1</v>
      </c>
      <c r="W24">
        <v>0.84947070002090097</v>
      </c>
      <c r="X24" t="s">
        <v>34</v>
      </c>
      <c r="Y24">
        <v>0</v>
      </c>
      <c r="Z24" t="s">
        <v>35</v>
      </c>
      <c r="AA24">
        <v>1</v>
      </c>
      <c r="AB24" t="s">
        <v>36</v>
      </c>
      <c r="AC24" t="s">
        <v>37</v>
      </c>
      <c r="AE24" t="s">
        <v>38</v>
      </c>
      <c r="AF24">
        <v>59.972964177374401</v>
      </c>
      <c r="AG24" t="s">
        <v>39</v>
      </c>
    </row>
    <row r="25" spans="1:33" x14ac:dyDescent="0.3">
      <c r="A25">
        <v>23</v>
      </c>
      <c r="B25">
        <v>0</v>
      </c>
      <c r="C25">
        <v>23</v>
      </c>
      <c r="D25" t="s">
        <v>33</v>
      </c>
      <c r="E25">
        <v>1</v>
      </c>
      <c r="F25">
        <v>0.61325960000976898</v>
      </c>
      <c r="G25" t="s">
        <v>34</v>
      </c>
      <c r="H25">
        <v>0</v>
      </c>
      <c r="I25">
        <v>23</v>
      </c>
      <c r="J25">
        <v>0</v>
      </c>
      <c r="K25">
        <v>23</v>
      </c>
      <c r="L25">
        <v>0</v>
      </c>
      <c r="M25">
        <v>37.643851500004502</v>
      </c>
      <c r="P25">
        <v>37.6281100000487</v>
      </c>
      <c r="Q25">
        <v>37.643851500004502</v>
      </c>
      <c r="R25">
        <v>38.643961400026399</v>
      </c>
      <c r="S25">
        <v>38.627242400078103</v>
      </c>
      <c r="T25">
        <v>39.243658200022701</v>
      </c>
      <c r="U25" t="s">
        <v>33</v>
      </c>
      <c r="V25">
        <v>1</v>
      </c>
      <c r="W25">
        <v>0.61325960000976898</v>
      </c>
      <c r="X25" t="s">
        <v>34</v>
      </c>
      <c r="Y25">
        <v>0</v>
      </c>
      <c r="Z25" t="s">
        <v>35</v>
      </c>
      <c r="AA25">
        <v>1</v>
      </c>
      <c r="AB25" t="s">
        <v>36</v>
      </c>
      <c r="AC25" t="s">
        <v>37</v>
      </c>
      <c r="AE25" t="s">
        <v>38</v>
      </c>
      <c r="AF25">
        <v>59.972964177374401</v>
      </c>
      <c r="AG25" t="s">
        <v>39</v>
      </c>
    </row>
    <row r="26" spans="1:33" x14ac:dyDescent="0.3">
      <c r="A26">
        <v>24</v>
      </c>
      <c r="B26">
        <v>0</v>
      </c>
      <c r="C26">
        <v>24</v>
      </c>
      <c r="D26" t="s">
        <v>40</v>
      </c>
      <c r="E26">
        <v>1</v>
      </c>
      <c r="F26">
        <v>1.5194999000523199</v>
      </c>
      <c r="G26" t="s">
        <v>34</v>
      </c>
      <c r="H26">
        <v>3</v>
      </c>
      <c r="I26">
        <v>24</v>
      </c>
      <c r="J26">
        <v>0</v>
      </c>
      <c r="K26">
        <v>24</v>
      </c>
      <c r="L26">
        <v>0</v>
      </c>
      <c r="M26">
        <v>39.260260800016098</v>
      </c>
      <c r="P26">
        <v>39.243806099984702</v>
      </c>
      <c r="Q26">
        <v>39.260260800016098</v>
      </c>
      <c r="R26">
        <v>40.260336000006603</v>
      </c>
      <c r="S26">
        <v>40.243768800049999</v>
      </c>
      <c r="T26">
        <v>41.779446500004198</v>
      </c>
      <c r="U26" t="s">
        <v>40</v>
      </c>
      <c r="V26">
        <v>1</v>
      </c>
      <c r="W26">
        <v>1.5194999000523199</v>
      </c>
      <c r="X26" t="s">
        <v>34</v>
      </c>
      <c r="Y26">
        <v>3</v>
      </c>
      <c r="Z26" t="s">
        <v>35</v>
      </c>
      <c r="AA26">
        <v>1</v>
      </c>
      <c r="AB26" t="s">
        <v>36</v>
      </c>
      <c r="AC26" t="s">
        <v>37</v>
      </c>
      <c r="AE26" t="s">
        <v>38</v>
      </c>
      <c r="AF26">
        <v>59.972964177374401</v>
      </c>
      <c r="AG26" t="s">
        <v>39</v>
      </c>
    </row>
    <row r="27" spans="1:33" x14ac:dyDescent="0.3">
      <c r="A27">
        <v>25</v>
      </c>
      <c r="B27">
        <v>0</v>
      </c>
      <c r="C27">
        <v>25</v>
      </c>
      <c r="D27" t="s">
        <v>40</v>
      </c>
      <c r="E27">
        <v>0</v>
      </c>
      <c r="F27">
        <v>2.8845435999101001</v>
      </c>
      <c r="G27" t="s">
        <v>34</v>
      </c>
      <c r="H27">
        <v>0</v>
      </c>
      <c r="I27">
        <v>25</v>
      </c>
      <c r="J27">
        <v>0</v>
      </c>
      <c r="K27">
        <v>25</v>
      </c>
      <c r="L27">
        <v>0</v>
      </c>
      <c r="M27">
        <v>41.793491200078201</v>
      </c>
      <c r="P27">
        <v>41.779583700001197</v>
      </c>
      <c r="Q27">
        <v>41.793491200078201</v>
      </c>
      <c r="R27">
        <v>42.793879700009697</v>
      </c>
      <c r="S27">
        <v>42.793879700009697</v>
      </c>
      <c r="T27">
        <v>45.693957700044798</v>
      </c>
      <c r="U27" t="s">
        <v>40</v>
      </c>
      <c r="V27">
        <v>0</v>
      </c>
      <c r="W27">
        <v>2.8845435999101001</v>
      </c>
      <c r="X27" t="s">
        <v>34</v>
      </c>
      <c r="Y27">
        <v>0</v>
      </c>
      <c r="Z27" t="s">
        <v>35</v>
      </c>
      <c r="AA27">
        <v>1</v>
      </c>
      <c r="AB27" t="s">
        <v>36</v>
      </c>
      <c r="AC27" t="s">
        <v>37</v>
      </c>
      <c r="AE27" t="s">
        <v>38</v>
      </c>
      <c r="AF27">
        <v>59.972964177374401</v>
      </c>
      <c r="AG27" t="s">
        <v>39</v>
      </c>
    </row>
    <row r="28" spans="1:33" x14ac:dyDescent="0.3">
      <c r="A28">
        <v>26</v>
      </c>
      <c r="B28">
        <v>0</v>
      </c>
      <c r="C28">
        <v>26</v>
      </c>
      <c r="D28" t="s">
        <v>33</v>
      </c>
      <c r="E28">
        <v>1</v>
      </c>
      <c r="F28">
        <v>0.44087100005708602</v>
      </c>
      <c r="G28" t="s">
        <v>34</v>
      </c>
      <c r="H28">
        <v>0</v>
      </c>
      <c r="I28">
        <v>26</v>
      </c>
      <c r="J28">
        <v>0</v>
      </c>
      <c r="K28">
        <v>26</v>
      </c>
      <c r="L28">
        <v>0</v>
      </c>
      <c r="M28">
        <v>45.710241800057702</v>
      </c>
      <c r="P28">
        <v>45.694092700025003</v>
      </c>
      <c r="Q28">
        <v>45.710241800057702</v>
      </c>
      <c r="R28">
        <v>46.710106400074402</v>
      </c>
      <c r="S28">
        <v>46.693319800076999</v>
      </c>
      <c r="T28">
        <v>47.143346900003898</v>
      </c>
      <c r="U28" t="s">
        <v>33</v>
      </c>
      <c r="V28">
        <v>1</v>
      </c>
      <c r="W28">
        <v>0.44087100005708602</v>
      </c>
      <c r="X28" t="s">
        <v>34</v>
      </c>
      <c r="Y28">
        <v>0</v>
      </c>
      <c r="Z28" t="s">
        <v>35</v>
      </c>
      <c r="AA28">
        <v>1</v>
      </c>
      <c r="AB28" t="s">
        <v>36</v>
      </c>
      <c r="AC28" t="s">
        <v>37</v>
      </c>
      <c r="AE28" t="s">
        <v>38</v>
      </c>
      <c r="AF28">
        <v>59.972964177374401</v>
      </c>
      <c r="AG28" t="s">
        <v>39</v>
      </c>
    </row>
    <row r="29" spans="1:33" x14ac:dyDescent="0.3">
      <c r="A29">
        <v>27</v>
      </c>
      <c r="B29">
        <v>0</v>
      </c>
      <c r="C29">
        <v>27</v>
      </c>
      <c r="D29" t="s">
        <v>33</v>
      </c>
      <c r="E29">
        <v>1</v>
      </c>
      <c r="F29">
        <v>0.41675450000911901</v>
      </c>
      <c r="G29" t="s">
        <v>34</v>
      </c>
      <c r="H29">
        <v>0</v>
      </c>
      <c r="I29">
        <v>27</v>
      </c>
      <c r="J29">
        <v>0</v>
      </c>
      <c r="K29">
        <v>27</v>
      </c>
      <c r="L29">
        <v>0</v>
      </c>
      <c r="M29">
        <v>47.160035000066202</v>
      </c>
      <c r="P29">
        <v>47.143485800013799</v>
      </c>
      <c r="Q29">
        <v>47.160035000066202</v>
      </c>
      <c r="R29">
        <v>48.159837900078799</v>
      </c>
      <c r="S29">
        <v>48.143591700005302</v>
      </c>
      <c r="T29">
        <v>48.560830599977599</v>
      </c>
      <c r="U29" t="s">
        <v>33</v>
      </c>
      <c r="V29">
        <v>1</v>
      </c>
      <c r="W29">
        <v>0.41675450000911901</v>
      </c>
      <c r="X29" t="s">
        <v>34</v>
      </c>
      <c r="Y29">
        <v>0</v>
      </c>
      <c r="Z29" t="s">
        <v>35</v>
      </c>
      <c r="AA29">
        <v>1</v>
      </c>
      <c r="AB29" t="s">
        <v>36</v>
      </c>
      <c r="AC29" t="s">
        <v>37</v>
      </c>
      <c r="AE29" t="s">
        <v>38</v>
      </c>
      <c r="AF29">
        <v>59.972964177374401</v>
      </c>
      <c r="AG29" t="s">
        <v>39</v>
      </c>
    </row>
    <row r="30" spans="1:33" x14ac:dyDescent="0.3">
      <c r="A30">
        <v>28</v>
      </c>
      <c r="B30">
        <v>0</v>
      </c>
      <c r="C30">
        <v>28</v>
      </c>
      <c r="D30" t="s">
        <v>33</v>
      </c>
      <c r="E30">
        <v>0</v>
      </c>
      <c r="F30">
        <v>0.54839230002835304</v>
      </c>
      <c r="G30" t="s">
        <v>34</v>
      </c>
      <c r="H30">
        <v>1</v>
      </c>
      <c r="I30">
        <v>28</v>
      </c>
      <c r="J30">
        <v>0</v>
      </c>
      <c r="K30">
        <v>28</v>
      </c>
      <c r="L30">
        <v>0</v>
      </c>
      <c r="M30">
        <v>48.577007599989798</v>
      </c>
      <c r="P30">
        <v>48.561004500021198</v>
      </c>
      <c r="Q30">
        <v>48.577007599989798</v>
      </c>
      <c r="R30">
        <v>49.576794699998501</v>
      </c>
      <c r="S30">
        <v>49.559582100016897</v>
      </c>
      <c r="T30">
        <v>50.109657500055597</v>
      </c>
      <c r="U30" t="s">
        <v>33</v>
      </c>
      <c r="V30">
        <v>0</v>
      </c>
      <c r="W30">
        <v>0.54839230002835304</v>
      </c>
      <c r="X30" t="s">
        <v>34</v>
      </c>
      <c r="Y30">
        <v>1</v>
      </c>
      <c r="Z30" t="s">
        <v>35</v>
      </c>
      <c r="AA30">
        <v>1</v>
      </c>
      <c r="AB30" t="s">
        <v>36</v>
      </c>
      <c r="AC30" t="s">
        <v>37</v>
      </c>
      <c r="AE30" t="s">
        <v>38</v>
      </c>
      <c r="AF30">
        <v>59.972964177374401</v>
      </c>
      <c r="AG30" t="s">
        <v>39</v>
      </c>
    </row>
    <row r="31" spans="1:33" x14ac:dyDescent="0.3">
      <c r="A31">
        <v>29</v>
      </c>
      <c r="B31">
        <v>0</v>
      </c>
      <c r="C31">
        <v>29</v>
      </c>
      <c r="D31" t="s">
        <v>33</v>
      </c>
      <c r="E31">
        <v>1</v>
      </c>
      <c r="F31">
        <v>0.58224480005446799</v>
      </c>
      <c r="G31" t="s">
        <v>34</v>
      </c>
      <c r="H31">
        <v>0</v>
      </c>
      <c r="I31">
        <v>29</v>
      </c>
      <c r="J31">
        <v>0</v>
      </c>
      <c r="K31">
        <v>29</v>
      </c>
      <c r="L31">
        <v>0</v>
      </c>
      <c r="M31">
        <v>50.126524400082403</v>
      </c>
      <c r="P31">
        <v>50.109880600008097</v>
      </c>
      <c r="Q31">
        <v>50.126524400082403</v>
      </c>
      <c r="R31">
        <v>51.126676600077097</v>
      </c>
      <c r="S31">
        <v>51.110030399984602</v>
      </c>
      <c r="T31">
        <v>51.694206400075899</v>
      </c>
      <c r="U31" t="s">
        <v>33</v>
      </c>
      <c r="V31">
        <v>1</v>
      </c>
      <c r="W31">
        <v>0.58224480005446799</v>
      </c>
      <c r="X31" t="s">
        <v>34</v>
      </c>
      <c r="Y31">
        <v>0</v>
      </c>
      <c r="Z31" t="s">
        <v>35</v>
      </c>
      <c r="AA31">
        <v>1</v>
      </c>
      <c r="AB31" t="s">
        <v>36</v>
      </c>
      <c r="AC31" t="s">
        <v>37</v>
      </c>
      <c r="AE31" t="s">
        <v>38</v>
      </c>
      <c r="AF31">
        <v>59.972964177374401</v>
      </c>
      <c r="AG31" t="s">
        <v>39</v>
      </c>
    </row>
    <row r="32" spans="1:33" x14ac:dyDescent="0.3">
      <c r="A32">
        <v>30</v>
      </c>
      <c r="B32">
        <v>0</v>
      </c>
      <c r="C32">
        <v>30</v>
      </c>
      <c r="D32" t="s">
        <v>33</v>
      </c>
      <c r="E32">
        <v>1</v>
      </c>
      <c r="F32">
        <v>0.38888869993388597</v>
      </c>
      <c r="G32" t="s">
        <v>34</v>
      </c>
      <c r="H32">
        <v>0</v>
      </c>
      <c r="I32">
        <v>30</v>
      </c>
      <c r="J32">
        <v>0</v>
      </c>
      <c r="K32">
        <v>30</v>
      </c>
      <c r="L32">
        <v>0</v>
      </c>
      <c r="M32">
        <v>51.710004499996998</v>
      </c>
      <c r="P32">
        <v>51.6943518000189</v>
      </c>
      <c r="Q32">
        <v>51.710004499996998</v>
      </c>
      <c r="R32">
        <v>52.709879099973399</v>
      </c>
      <c r="S32">
        <v>52.693540300009701</v>
      </c>
      <c r="T32">
        <v>53.093472599983201</v>
      </c>
      <c r="U32" t="s">
        <v>33</v>
      </c>
      <c r="V32">
        <v>1</v>
      </c>
      <c r="W32">
        <v>0.38888869993388597</v>
      </c>
      <c r="X32" t="s">
        <v>34</v>
      </c>
      <c r="Y32">
        <v>0</v>
      </c>
      <c r="Z32" t="s">
        <v>35</v>
      </c>
      <c r="AA32">
        <v>1</v>
      </c>
      <c r="AB32" t="s">
        <v>36</v>
      </c>
      <c r="AC32" t="s">
        <v>37</v>
      </c>
      <c r="AE32" t="s">
        <v>38</v>
      </c>
      <c r="AF32">
        <v>59.972964177374401</v>
      </c>
      <c r="AG32" t="s">
        <v>39</v>
      </c>
    </row>
    <row r="33" spans="1:33" x14ac:dyDescent="0.3">
      <c r="A33">
        <v>31</v>
      </c>
      <c r="B33">
        <v>0</v>
      </c>
      <c r="C33">
        <v>31</v>
      </c>
      <c r="D33" t="s">
        <v>33</v>
      </c>
      <c r="E33">
        <v>1</v>
      </c>
      <c r="F33">
        <v>0.33051080000586802</v>
      </c>
      <c r="G33" t="s">
        <v>34</v>
      </c>
      <c r="H33">
        <v>0</v>
      </c>
      <c r="I33">
        <v>31</v>
      </c>
      <c r="J33">
        <v>0</v>
      </c>
      <c r="K33">
        <v>31</v>
      </c>
      <c r="L33">
        <v>0</v>
      </c>
      <c r="M33">
        <v>53.109974000020799</v>
      </c>
      <c r="P33">
        <v>53.093609099974799</v>
      </c>
      <c r="Q33">
        <v>53.109974000020799</v>
      </c>
      <c r="R33">
        <v>54.1099928000476</v>
      </c>
      <c r="S33">
        <v>54.093364399974199</v>
      </c>
      <c r="T33">
        <v>54.426773300045099</v>
      </c>
      <c r="U33" t="s">
        <v>33</v>
      </c>
      <c r="V33">
        <v>1</v>
      </c>
      <c r="W33">
        <v>0.33051080000586802</v>
      </c>
      <c r="X33" t="s">
        <v>34</v>
      </c>
      <c r="Y33">
        <v>0</v>
      </c>
      <c r="Z33" t="s">
        <v>35</v>
      </c>
      <c r="AA33">
        <v>1</v>
      </c>
      <c r="AB33" t="s">
        <v>36</v>
      </c>
      <c r="AC33" t="s">
        <v>37</v>
      </c>
      <c r="AE33" t="s">
        <v>38</v>
      </c>
      <c r="AF33">
        <v>59.972964177374401</v>
      </c>
      <c r="AG33" t="s">
        <v>39</v>
      </c>
    </row>
    <row r="34" spans="1:33" x14ac:dyDescent="0.3">
      <c r="A34">
        <v>32</v>
      </c>
      <c r="B34">
        <v>0</v>
      </c>
      <c r="C34">
        <v>32</v>
      </c>
      <c r="D34" t="s">
        <v>33</v>
      </c>
      <c r="E34">
        <v>0</v>
      </c>
      <c r="F34">
        <v>0.46246459998655998</v>
      </c>
      <c r="G34" t="s">
        <v>34</v>
      </c>
      <c r="H34">
        <v>3</v>
      </c>
      <c r="I34">
        <v>32</v>
      </c>
      <c r="J34">
        <v>0</v>
      </c>
      <c r="K34">
        <v>32</v>
      </c>
      <c r="L34">
        <v>0</v>
      </c>
      <c r="M34">
        <v>54.443292399984699</v>
      </c>
      <c r="P34">
        <v>54.426937000011002</v>
      </c>
      <c r="Q34">
        <v>54.443292399984699</v>
      </c>
      <c r="R34">
        <v>55.442812400055097</v>
      </c>
      <c r="S34">
        <v>55.426728200051002</v>
      </c>
      <c r="T34">
        <v>55.8936050999909</v>
      </c>
      <c r="U34" t="s">
        <v>33</v>
      </c>
      <c r="V34">
        <v>0</v>
      </c>
      <c r="W34">
        <v>0.46246459998655998</v>
      </c>
      <c r="X34" t="s">
        <v>34</v>
      </c>
      <c r="Y34">
        <v>3</v>
      </c>
      <c r="Z34" t="s">
        <v>35</v>
      </c>
      <c r="AA34">
        <v>1</v>
      </c>
      <c r="AB34" t="s">
        <v>36</v>
      </c>
      <c r="AC34" t="s">
        <v>37</v>
      </c>
      <c r="AE34" t="s">
        <v>38</v>
      </c>
      <c r="AF34">
        <v>59.972964177374401</v>
      </c>
      <c r="AG34" t="s">
        <v>39</v>
      </c>
    </row>
    <row r="35" spans="1:33" x14ac:dyDescent="0.3">
      <c r="A35">
        <v>33</v>
      </c>
      <c r="B35">
        <v>0</v>
      </c>
      <c r="C35">
        <v>33</v>
      </c>
      <c r="D35" t="s">
        <v>33</v>
      </c>
      <c r="E35">
        <v>1</v>
      </c>
      <c r="F35">
        <v>0.59301149996463198</v>
      </c>
      <c r="G35" t="s">
        <v>34</v>
      </c>
      <c r="H35">
        <v>0</v>
      </c>
      <c r="I35">
        <v>33</v>
      </c>
      <c r="J35">
        <v>0</v>
      </c>
      <c r="K35">
        <v>33</v>
      </c>
      <c r="L35">
        <v>0</v>
      </c>
      <c r="M35">
        <v>55.909848700044599</v>
      </c>
      <c r="P35">
        <v>55.893737800069999</v>
      </c>
      <c r="Q35">
        <v>55.909848700044599</v>
      </c>
      <c r="R35">
        <v>56.910581800038898</v>
      </c>
      <c r="S35">
        <v>56.893422900000502</v>
      </c>
      <c r="T35">
        <v>57.495296400040303</v>
      </c>
      <c r="U35" t="s">
        <v>33</v>
      </c>
      <c r="V35">
        <v>1</v>
      </c>
      <c r="W35">
        <v>0.59301149996463198</v>
      </c>
      <c r="X35" t="s">
        <v>34</v>
      </c>
      <c r="Y35">
        <v>0</v>
      </c>
      <c r="Z35" t="s">
        <v>35</v>
      </c>
      <c r="AA35">
        <v>1</v>
      </c>
      <c r="AB35" t="s">
        <v>36</v>
      </c>
      <c r="AC35" t="s">
        <v>37</v>
      </c>
      <c r="AE35" t="s">
        <v>38</v>
      </c>
      <c r="AF35">
        <v>59.972964177374401</v>
      </c>
      <c r="AG35" t="s">
        <v>39</v>
      </c>
    </row>
    <row r="36" spans="1:33" x14ac:dyDescent="0.3">
      <c r="A36">
        <v>34</v>
      </c>
      <c r="B36">
        <v>0</v>
      </c>
      <c r="C36">
        <v>34</v>
      </c>
      <c r="D36" t="s">
        <v>40</v>
      </c>
      <c r="E36">
        <v>1</v>
      </c>
      <c r="F36">
        <v>0.55454769998323095</v>
      </c>
      <c r="G36" t="s">
        <v>34</v>
      </c>
      <c r="H36">
        <v>-4</v>
      </c>
      <c r="I36">
        <v>34</v>
      </c>
      <c r="J36">
        <v>0</v>
      </c>
      <c r="K36">
        <v>34</v>
      </c>
      <c r="L36">
        <v>0</v>
      </c>
      <c r="M36">
        <v>57.509729600045802</v>
      </c>
      <c r="P36">
        <v>57.495462300023</v>
      </c>
      <c r="Q36">
        <v>57.509729600045802</v>
      </c>
      <c r="R36">
        <v>58.5092173999873</v>
      </c>
      <c r="S36">
        <v>58.5092173999873</v>
      </c>
      <c r="T36">
        <v>59.077081999974297</v>
      </c>
      <c r="U36" t="s">
        <v>40</v>
      </c>
      <c r="V36">
        <v>1</v>
      </c>
      <c r="W36">
        <v>0.55454769998323095</v>
      </c>
      <c r="X36" t="s">
        <v>34</v>
      </c>
      <c r="Y36">
        <v>-4</v>
      </c>
      <c r="Z36" t="s">
        <v>35</v>
      </c>
      <c r="AA36">
        <v>1</v>
      </c>
      <c r="AB36" t="s">
        <v>36</v>
      </c>
      <c r="AC36" t="s">
        <v>37</v>
      </c>
      <c r="AE36" t="s">
        <v>38</v>
      </c>
      <c r="AF36">
        <v>59.972964177374401</v>
      </c>
      <c r="AG36" t="s">
        <v>39</v>
      </c>
    </row>
    <row r="37" spans="1:33" x14ac:dyDescent="0.3">
      <c r="A37">
        <v>35</v>
      </c>
      <c r="B37">
        <v>0</v>
      </c>
      <c r="C37">
        <v>35</v>
      </c>
      <c r="D37" t="s">
        <v>40</v>
      </c>
      <c r="E37">
        <v>1</v>
      </c>
      <c r="F37">
        <v>0.36690849997103198</v>
      </c>
      <c r="G37" t="s">
        <v>34</v>
      </c>
      <c r="H37">
        <v>-5</v>
      </c>
      <c r="I37">
        <v>35</v>
      </c>
      <c r="J37">
        <v>0</v>
      </c>
      <c r="K37">
        <v>35</v>
      </c>
      <c r="L37">
        <v>0</v>
      </c>
      <c r="M37">
        <v>59.093301400076598</v>
      </c>
      <c r="P37">
        <v>59.0773771000094</v>
      </c>
      <c r="Q37">
        <v>59.093301400076598</v>
      </c>
      <c r="R37">
        <v>60.0927044000709</v>
      </c>
      <c r="S37">
        <v>60.0927044000709</v>
      </c>
      <c r="T37">
        <v>60.460104900063001</v>
      </c>
      <c r="U37" t="s">
        <v>40</v>
      </c>
      <c r="V37">
        <v>1</v>
      </c>
      <c r="W37">
        <v>0.36690849997103198</v>
      </c>
      <c r="X37" t="s">
        <v>34</v>
      </c>
      <c r="Y37">
        <v>-5</v>
      </c>
      <c r="Z37" t="s">
        <v>35</v>
      </c>
      <c r="AA37">
        <v>1</v>
      </c>
      <c r="AB37" t="s">
        <v>36</v>
      </c>
      <c r="AC37" t="s">
        <v>37</v>
      </c>
      <c r="AE37" t="s">
        <v>38</v>
      </c>
      <c r="AF37">
        <v>59.972964177374401</v>
      </c>
      <c r="AG37" t="s">
        <v>39</v>
      </c>
    </row>
    <row r="38" spans="1:33" x14ac:dyDescent="0.3">
      <c r="A38">
        <v>36</v>
      </c>
      <c r="B38">
        <v>0</v>
      </c>
      <c r="C38">
        <v>36</v>
      </c>
      <c r="D38" t="s">
        <v>40</v>
      </c>
      <c r="E38">
        <v>1</v>
      </c>
      <c r="F38">
        <v>0.377653699950315</v>
      </c>
      <c r="G38" t="s">
        <v>34</v>
      </c>
      <c r="H38">
        <v>-1</v>
      </c>
      <c r="I38">
        <v>36</v>
      </c>
      <c r="J38">
        <v>0</v>
      </c>
      <c r="K38">
        <v>36</v>
      </c>
      <c r="L38">
        <v>0</v>
      </c>
      <c r="M38">
        <v>60.475884400075302</v>
      </c>
      <c r="P38">
        <v>60.460246499977004</v>
      </c>
      <c r="Q38">
        <v>60.475884400075302</v>
      </c>
      <c r="R38">
        <v>61.476162599981699</v>
      </c>
      <c r="S38">
        <v>61.4596010000677</v>
      </c>
      <c r="T38">
        <v>61.843352700001503</v>
      </c>
      <c r="U38" t="s">
        <v>40</v>
      </c>
      <c r="V38">
        <v>1</v>
      </c>
      <c r="W38">
        <v>0.377653699950315</v>
      </c>
      <c r="X38" t="s">
        <v>34</v>
      </c>
      <c r="Y38">
        <v>-1</v>
      </c>
      <c r="Z38" t="s">
        <v>35</v>
      </c>
      <c r="AA38">
        <v>1</v>
      </c>
      <c r="AB38" t="s">
        <v>36</v>
      </c>
      <c r="AC38" t="s">
        <v>37</v>
      </c>
      <c r="AE38" t="s">
        <v>38</v>
      </c>
      <c r="AF38">
        <v>59.972964177374401</v>
      </c>
      <c r="AG38" t="s">
        <v>39</v>
      </c>
    </row>
    <row r="39" spans="1:33" x14ac:dyDescent="0.3">
      <c r="A39">
        <v>37</v>
      </c>
      <c r="B39">
        <v>0</v>
      </c>
      <c r="C39">
        <v>37</v>
      </c>
      <c r="D39" t="s">
        <v>40</v>
      </c>
      <c r="E39">
        <v>1</v>
      </c>
      <c r="F39">
        <v>0.39417660003527999</v>
      </c>
      <c r="G39" t="s">
        <v>34</v>
      </c>
      <c r="H39">
        <v>-4</v>
      </c>
      <c r="I39">
        <v>37</v>
      </c>
      <c r="J39">
        <v>0</v>
      </c>
      <c r="K39">
        <v>37</v>
      </c>
      <c r="L39">
        <v>0</v>
      </c>
      <c r="M39">
        <v>61.8595862999791</v>
      </c>
      <c r="P39">
        <v>61.843499400070797</v>
      </c>
      <c r="Q39">
        <v>61.8595862999791</v>
      </c>
      <c r="R39">
        <v>62.859855300048302</v>
      </c>
      <c r="S39">
        <v>62.843124900013201</v>
      </c>
      <c r="T39">
        <v>63.243025199975797</v>
      </c>
      <c r="U39" t="s">
        <v>40</v>
      </c>
      <c r="V39">
        <v>1</v>
      </c>
      <c r="W39">
        <v>0.39417660003527999</v>
      </c>
      <c r="X39" t="s">
        <v>34</v>
      </c>
      <c r="Y39">
        <v>-4</v>
      </c>
      <c r="Z39" t="s">
        <v>35</v>
      </c>
      <c r="AA39">
        <v>1</v>
      </c>
      <c r="AB39" t="s">
        <v>36</v>
      </c>
      <c r="AC39" t="s">
        <v>37</v>
      </c>
      <c r="AE39" t="s">
        <v>38</v>
      </c>
      <c r="AF39">
        <v>59.972964177374401</v>
      </c>
      <c r="AG39" t="s">
        <v>39</v>
      </c>
    </row>
    <row r="40" spans="1:33" x14ac:dyDescent="0.3">
      <c r="A40">
        <v>38</v>
      </c>
      <c r="B40">
        <v>0</v>
      </c>
      <c r="C40">
        <v>38</v>
      </c>
      <c r="D40" t="s">
        <v>33</v>
      </c>
      <c r="E40">
        <v>0</v>
      </c>
      <c r="F40">
        <v>0.47685109998565101</v>
      </c>
      <c r="G40" t="s">
        <v>34</v>
      </c>
      <c r="H40">
        <v>4</v>
      </c>
      <c r="I40">
        <v>38</v>
      </c>
      <c r="J40">
        <v>0</v>
      </c>
      <c r="K40">
        <v>38</v>
      </c>
      <c r="L40">
        <v>0</v>
      </c>
      <c r="M40">
        <v>63.259158500004503</v>
      </c>
      <c r="P40">
        <v>63.243165499996302</v>
      </c>
      <c r="Q40">
        <v>63.259158500004503</v>
      </c>
      <c r="R40">
        <v>64.259773300029295</v>
      </c>
      <c r="S40">
        <v>64.243021700065498</v>
      </c>
      <c r="T40">
        <v>64.726736700045805</v>
      </c>
      <c r="U40" t="s">
        <v>33</v>
      </c>
      <c r="V40">
        <v>0</v>
      </c>
      <c r="W40">
        <v>0.47685109998565101</v>
      </c>
      <c r="X40" t="s">
        <v>34</v>
      </c>
      <c r="Y40">
        <v>4</v>
      </c>
      <c r="Z40" t="s">
        <v>35</v>
      </c>
      <c r="AA40">
        <v>1</v>
      </c>
      <c r="AB40" t="s">
        <v>36</v>
      </c>
      <c r="AC40" t="s">
        <v>37</v>
      </c>
      <c r="AE40" t="s">
        <v>38</v>
      </c>
      <c r="AF40">
        <v>59.972964177374401</v>
      </c>
      <c r="AG40" t="s">
        <v>39</v>
      </c>
    </row>
    <row r="41" spans="1:33" x14ac:dyDescent="0.3">
      <c r="A41">
        <v>39</v>
      </c>
      <c r="B41">
        <v>0</v>
      </c>
      <c r="C41">
        <v>39</v>
      </c>
      <c r="D41" t="s">
        <v>40</v>
      </c>
      <c r="E41">
        <v>1</v>
      </c>
      <c r="F41">
        <v>0.66185159992892295</v>
      </c>
      <c r="G41" t="s">
        <v>34</v>
      </c>
      <c r="H41">
        <v>-4</v>
      </c>
      <c r="I41">
        <v>39</v>
      </c>
      <c r="J41">
        <v>0</v>
      </c>
      <c r="K41">
        <v>39</v>
      </c>
      <c r="L41">
        <v>0</v>
      </c>
      <c r="M41">
        <v>64.742936700000399</v>
      </c>
      <c r="P41">
        <v>64.726894200081006</v>
      </c>
      <c r="Q41">
        <v>64.742936700000399</v>
      </c>
      <c r="R41">
        <v>65.742639200063394</v>
      </c>
      <c r="S41">
        <v>65.726473200018503</v>
      </c>
      <c r="T41">
        <v>66.3934221999952</v>
      </c>
      <c r="U41" t="s">
        <v>40</v>
      </c>
      <c r="V41">
        <v>1</v>
      </c>
      <c r="W41">
        <v>0.66185159992892295</v>
      </c>
      <c r="X41" t="s">
        <v>34</v>
      </c>
      <c r="Y41">
        <v>-4</v>
      </c>
      <c r="Z41" t="s">
        <v>35</v>
      </c>
      <c r="AA41">
        <v>1</v>
      </c>
      <c r="AB41" t="s">
        <v>36</v>
      </c>
      <c r="AC41" t="s">
        <v>37</v>
      </c>
      <c r="AE41" t="s">
        <v>38</v>
      </c>
      <c r="AF41">
        <v>59.972964177374401</v>
      </c>
      <c r="AG41" t="s">
        <v>39</v>
      </c>
    </row>
    <row r="42" spans="1:33" x14ac:dyDescent="0.3">
      <c r="A42">
        <v>40</v>
      </c>
      <c r="B42">
        <v>0</v>
      </c>
      <c r="C42">
        <v>40</v>
      </c>
      <c r="D42" t="s">
        <v>33</v>
      </c>
      <c r="E42">
        <v>1</v>
      </c>
      <c r="F42">
        <v>0.73959459993056897</v>
      </c>
      <c r="G42" t="s">
        <v>34</v>
      </c>
      <c r="H42">
        <v>0</v>
      </c>
      <c r="I42">
        <v>40</v>
      </c>
      <c r="J42">
        <v>0</v>
      </c>
      <c r="K42">
        <v>40</v>
      </c>
      <c r="L42">
        <v>0</v>
      </c>
      <c r="M42">
        <v>66.409697800059803</v>
      </c>
      <c r="P42">
        <v>66.393556899973106</v>
      </c>
      <c r="Q42">
        <v>66.409697800059803</v>
      </c>
      <c r="R42">
        <v>67.409785000025295</v>
      </c>
      <c r="S42">
        <v>67.393333400017497</v>
      </c>
      <c r="T42">
        <v>68.143646300071794</v>
      </c>
      <c r="U42" t="s">
        <v>33</v>
      </c>
      <c r="V42">
        <v>1</v>
      </c>
      <c r="W42">
        <v>0.73959459993056897</v>
      </c>
      <c r="X42" t="s">
        <v>34</v>
      </c>
      <c r="Y42">
        <v>0</v>
      </c>
      <c r="Z42" t="s">
        <v>35</v>
      </c>
      <c r="AA42">
        <v>1</v>
      </c>
      <c r="AB42" t="s">
        <v>36</v>
      </c>
      <c r="AC42" t="s">
        <v>37</v>
      </c>
      <c r="AE42" t="s">
        <v>38</v>
      </c>
      <c r="AF42">
        <v>59.972964177374401</v>
      </c>
      <c r="AG42" t="s">
        <v>39</v>
      </c>
    </row>
    <row r="43" spans="1:33" x14ac:dyDescent="0.3">
      <c r="A43">
        <v>41</v>
      </c>
      <c r="B43">
        <v>0</v>
      </c>
      <c r="C43">
        <v>41</v>
      </c>
      <c r="D43" t="s">
        <v>33</v>
      </c>
      <c r="E43">
        <v>1</v>
      </c>
      <c r="F43">
        <v>0.61376559990458102</v>
      </c>
      <c r="G43" t="s">
        <v>34</v>
      </c>
      <c r="H43">
        <v>0</v>
      </c>
      <c r="I43">
        <v>41</v>
      </c>
      <c r="J43">
        <v>0</v>
      </c>
      <c r="K43">
        <v>41</v>
      </c>
      <c r="L43">
        <v>0</v>
      </c>
      <c r="M43">
        <v>68.159885999979394</v>
      </c>
      <c r="P43">
        <v>68.143787699984301</v>
      </c>
      <c r="Q43">
        <v>68.159885999979394</v>
      </c>
      <c r="R43">
        <v>69.160020800074506</v>
      </c>
      <c r="S43">
        <v>69.142522900016004</v>
      </c>
      <c r="T43">
        <v>69.7599133000476</v>
      </c>
      <c r="U43" t="s">
        <v>33</v>
      </c>
      <c r="V43">
        <v>1</v>
      </c>
      <c r="W43">
        <v>0.61376559990458102</v>
      </c>
      <c r="X43" t="s">
        <v>34</v>
      </c>
      <c r="Y43">
        <v>0</v>
      </c>
      <c r="Z43" t="s">
        <v>35</v>
      </c>
      <c r="AA43">
        <v>1</v>
      </c>
      <c r="AB43" t="s">
        <v>36</v>
      </c>
      <c r="AC43" t="s">
        <v>37</v>
      </c>
      <c r="AE43" t="s">
        <v>38</v>
      </c>
      <c r="AF43">
        <v>59.972964177374401</v>
      </c>
      <c r="AG43" t="s">
        <v>39</v>
      </c>
    </row>
    <row r="44" spans="1:33" x14ac:dyDescent="0.3">
      <c r="A44">
        <v>42</v>
      </c>
      <c r="B44">
        <v>0</v>
      </c>
      <c r="C44">
        <v>42</v>
      </c>
      <c r="D44" t="s">
        <v>40</v>
      </c>
      <c r="E44">
        <v>1</v>
      </c>
      <c r="F44">
        <v>0.50636020000092596</v>
      </c>
      <c r="G44" t="s">
        <v>34</v>
      </c>
      <c r="H44">
        <v>4</v>
      </c>
      <c r="I44">
        <v>42</v>
      </c>
      <c r="J44">
        <v>0</v>
      </c>
      <c r="K44">
        <v>42</v>
      </c>
      <c r="L44">
        <v>0</v>
      </c>
      <c r="M44">
        <v>69.776346400030803</v>
      </c>
      <c r="P44">
        <v>69.760062800021799</v>
      </c>
      <c r="Q44">
        <v>69.776346400030803</v>
      </c>
      <c r="R44">
        <v>70.775869400007593</v>
      </c>
      <c r="S44">
        <v>70.759039100026698</v>
      </c>
      <c r="T44">
        <v>71.2769197999732</v>
      </c>
      <c r="U44" t="s">
        <v>40</v>
      </c>
      <c r="V44">
        <v>1</v>
      </c>
      <c r="W44">
        <v>0.50636020000092596</v>
      </c>
      <c r="X44" t="s">
        <v>34</v>
      </c>
      <c r="Y44">
        <v>4</v>
      </c>
      <c r="Z44" t="s">
        <v>35</v>
      </c>
      <c r="AA44">
        <v>1</v>
      </c>
      <c r="AB44" t="s">
        <v>36</v>
      </c>
      <c r="AC44" t="s">
        <v>37</v>
      </c>
      <c r="AE44" t="s">
        <v>38</v>
      </c>
      <c r="AF44">
        <v>59.972964177374401</v>
      </c>
      <c r="AG44" t="s">
        <v>39</v>
      </c>
    </row>
    <row r="45" spans="1:33" x14ac:dyDescent="0.3">
      <c r="A45">
        <v>43</v>
      </c>
      <c r="B45">
        <v>0</v>
      </c>
      <c r="C45">
        <v>43</v>
      </c>
      <c r="D45" t="s">
        <v>40</v>
      </c>
      <c r="E45">
        <v>1</v>
      </c>
      <c r="F45">
        <v>0.62411390000488598</v>
      </c>
      <c r="G45" t="s">
        <v>34</v>
      </c>
      <c r="H45">
        <v>2</v>
      </c>
      <c r="I45">
        <v>43</v>
      </c>
      <c r="J45">
        <v>0</v>
      </c>
      <c r="K45">
        <v>43</v>
      </c>
      <c r="L45">
        <v>0</v>
      </c>
      <c r="M45">
        <v>71.293274300056495</v>
      </c>
      <c r="P45">
        <v>71.277075499994595</v>
      </c>
      <c r="Q45">
        <v>71.293274300056495</v>
      </c>
      <c r="R45">
        <v>72.293389500002306</v>
      </c>
      <c r="S45">
        <v>72.2766872000647</v>
      </c>
      <c r="T45">
        <v>72.909892800031201</v>
      </c>
      <c r="U45" t="s">
        <v>40</v>
      </c>
      <c r="V45">
        <v>1</v>
      </c>
      <c r="W45">
        <v>0.62411390000488598</v>
      </c>
      <c r="X45" t="s">
        <v>34</v>
      </c>
      <c r="Y45">
        <v>2</v>
      </c>
      <c r="Z45" t="s">
        <v>35</v>
      </c>
      <c r="AA45">
        <v>1</v>
      </c>
      <c r="AB45" t="s">
        <v>36</v>
      </c>
      <c r="AC45" t="s">
        <v>37</v>
      </c>
      <c r="AE45" t="s">
        <v>38</v>
      </c>
      <c r="AF45">
        <v>59.972964177374401</v>
      </c>
      <c r="AG45" t="s">
        <v>39</v>
      </c>
    </row>
    <row r="46" spans="1:33" x14ac:dyDescent="0.3">
      <c r="A46">
        <v>44</v>
      </c>
      <c r="B46">
        <v>0</v>
      </c>
      <c r="C46">
        <v>44</v>
      </c>
      <c r="D46" t="s">
        <v>33</v>
      </c>
      <c r="E46">
        <v>1</v>
      </c>
      <c r="F46">
        <v>0.72860769997350805</v>
      </c>
      <c r="G46" t="s">
        <v>34</v>
      </c>
      <c r="H46">
        <v>0</v>
      </c>
      <c r="I46">
        <v>44</v>
      </c>
      <c r="J46">
        <v>0</v>
      </c>
      <c r="K46">
        <v>44</v>
      </c>
      <c r="L46">
        <v>0</v>
      </c>
      <c r="M46">
        <v>72.926447800011303</v>
      </c>
      <c r="P46">
        <v>72.910030400031204</v>
      </c>
      <c r="Q46">
        <v>72.926447800011303</v>
      </c>
      <c r="R46">
        <v>73.926419300027106</v>
      </c>
      <c r="S46">
        <v>73.909073700080597</v>
      </c>
      <c r="T46">
        <v>74.642725900048305</v>
      </c>
      <c r="U46" t="s">
        <v>33</v>
      </c>
      <c r="V46">
        <v>1</v>
      </c>
      <c r="W46">
        <v>0.72860769997350805</v>
      </c>
      <c r="X46" t="s">
        <v>34</v>
      </c>
      <c r="Y46">
        <v>0</v>
      </c>
      <c r="Z46" t="s">
        <v>35</v>
      </c>
      <c r="AA46">
        <v>1</v>
      </c>
      <c r="AB46" t="s">
        <v>36</v>
      </c>
      <c r="AC46" t="s">
        <v>37</v>
      </c>
      <c r="AE46" t="s">
        <v>38</v>
      </c>
      <c r="AF46">
        <v>59.972964177374401</v>
      </c>
      <c r="AG46" t="s">
        <v>39</v>
      </c>
    </row>
    <row r="47" spans="1:33" x14ac:dyDescent="0.3">
      <c r="A47">
        <v>45</v>
      </c>
      <c r="B47">
        <v>0</v>
      </c>
      <c r="C47">
        <v>45</v>
      </c>
      <c r="D47" t="s">
        <v>33</v>
      </c>
      <c r="E47">
        <v>1</v>
      </c>
      <c r="F47">
        <v>0.445063300081528</v>
      </c>
      <c r="G47" t="s">
        <v>34</v>
      </c>
      <c r="H47">
        <v>0</v>
      </c>
      <c r="I47">
        <v>45</v>
      </c>
      <c r="J47">
        <v>0</v>
      </c>
      <c r="K47">
        <v>45</v>
      </c>
      <c r="L47">
        <v>0</v>
      </c>
      <c r="M47">
        <v>74.658869200036804</v>
      </c>
      <c r="P47">
        <v>74.642878200043896</v>
      </c>
      <c r="Q47">
        <v>74.658869200036804</v>
      </c>
      <c r="R47">
        <v>75.659613600000696</v>
      </c>
      <c r="S47">
        <v>75.643061100039603</v>
      </c>
      <c r="T47">
        <v>76.092669600038704</v>
      </c>
      <c r="U47" t="s">
        <v>33</v>
      </c>
      <c r="V47">
        <v>1</v>
      </c>
      <c r="W47">
        <v>0.445063300081528</v>
      </c>
      <c r="X47" t="s">
        <v>34</v>
      </c>
      <c r="Y47">
        <v>0</v>
      </c>
      <c r="Z47" t="s">
        <v>35</v>
      </c>
      <c r="AA47">
        <v>1</v>
      </c>
      <c r="AB47" t="s">
        <v>36</v>
      </c>
      <c r="AC47" t="s">
        <v>37</v>
      </c>
      <c r="AE47" t="s">
        <v>38</v>
      </c>
      <c r="AF47">
        <v>59.972964177374401</v>
      </c>
      <c r="AG47" t="s">
        <v>39</v>
      </c>
    </row>
    <row r="48" spans="1:33" x14ac:dyDescent="0.3">
      <c r="A48">
        <v>46</v>
      </c>
      <c r="B48">
        <v>0</v>
      </c>
      <c r="C48">
        <v>46</v>
      </c>
      <c r="D48" t="s">
        <v>40</v>
      </c>
      <c r="E48">
        <v>1</v>
      </c>
      <c r="F48">
        <v>0.54597800003830299</v>
      </c>
      <c r="G48" t="s">
        <v>34</v>
      </c>
      <c r="H48">
        <v>-4</v>
      </c>
      <c r="I48">
        <v>46</v>
      </c>
      <c r="J48">
        <v>0</v>
      </c>
      <c r="K48">
        <v>46</v>
      </c>
      <c r="L48">
        <v>0</v>
      </c>
      <c r="M48">
        <v>76.109004899975801</v>
      </c>
      <c r="P48">
        <v>76.092822500038807</v>
      </c>
      <c r="Q48">
        <v>76.109004899975801</v>
      </c>
      <c r="R48">
        <v>77.1090188000816</v>
      </c>
      <c r="S48">
        <v>77.093651800067093</v>
      </c>
      <c r="T48">
        <v>77.642512900056303</v>
      </c>
      <c r="U48" t="s">
        <v>40</v>
      </c>
      <c r="V48">
        <v>1</v>
      </c>
      <c r="W48">
        <v>0.54597800003830299</v>
      </c>
      <c r="X48" t="s">
        <v>34</v>
      </c>
      <c r="Y48">
        <v>-4</v>
      </c>
      <c r="Z48" t="s">
        <v>35</v>
      </c>
      <c r="AA48">
        <v>1</v>
      </c>
      <c r="AB48" t="s">
        <v>36</v>
      </c>
      <c r="AC48" t="s">
        <v>37</v>
      </c>
      <c r="AE48" t="s">
        <v>38</v>
      </c>
      <c r="AF48">
        <v>59.972964177374401</v>
      </c>
      <c r="AG48" t="s">
        <v>39</v>
      </c>
    </row>
    <row r="49" spans="1:33" x14ac:dyDescent="0.3">
      <c r="A49">
        <v>47</v>
      </c>
      <c r="B49">
        <v>0</v>
      </c>
      <c r="C49">
        <v>47</v>
      </c>
      <c r="D49" t="s">
        <v>33</v>
      </c>
      <c r="E49">
        <v>1</v>
      </c>
      <c r="F49">
        <v>0.53143590001855001</v>
      </c>
      <c r="G49" t="s">
        <v>34</v>
      </c>
      <c r="H49">
        <v>0</v>
      </c>
      <c r="I49">
        <v>47</v>
      </c>
      <c r="J49">
        <v>0</v>
      </c>
      <c r="K49">
        <v>47</v>
      </c>
      <c r="L49">
        <v>0</v>
      </c>
      <c r="M49">
        <v>77.658905100077305</v>
      </c>
      <c r="P49">
        <v>77.642643900005993</v>
      </c>
      <c r="Q49">
        <v>77.658905100077305</v>
      </c>
      <c r="R49">
        <v>78.658911800011893</v>
      </c>
      <c r="S49">
        <v>78.642185300006503</v>
      </c>
      <c r="T49">
        <v>79.175957500003193</v>
      </c>
      <c r="U49" t="s">
        <v>33</v>
      </c>
      <c r="V49">
        <v>1</v>
      </c>
      <c r="W49">
        <v>0.53143590001855001</v>
      </c>
      <c r="X49" t="s">
        <v>34</v>
      </c>
      <c r="Y49">
        <v>0</v>
      </c>
      <c r="Z49" t="s">
        <v>35</v>
      </c>
      <c r="AA49">
        <v>1</v>
      </c>
      <c r="AB49" t="s">
        <v>36</v>
      </c>
      <c r="AC49" t="s">
        <v>37</v>
      </c>
      <c r="AE49" t="s">
        <v>38</v>
      </c>
      <c r="AF49">
        <v>59.972964177374401</v>
      </c>
      <c r="AG49" t="s">
        <v>39</v>
      </c>
    </row>
    <row r="50" spans="1:33" x14ac:dyDescent="0.3">
      <c r="A50">
        <v>48</v>
      </c>
      <c r="B50">
        <v>0</v>
      </c>
      <c r="C50">
        <v>48</v>
      </c>
      <c r="D50" t="s">
        <v>33</v>
      </c>
      <c r="E50">
        <v>0</v>
      </c>
      <c r="F50">
        <v>0.46691670001018698</v>
      </c>
      <c r="G50" t="s">
        <v>34</v>
      </c>
      <c r="H50">
        <v>3</v>
      </c>
      <c r="I50">
        <v>48</v>
      </c>
      <c r="J50">
        <v>0</v>
      </c>
      <c r="K50">
        <v>48</v>
      </c>
      <c r="L50">
        <v>0</v>
      </c>
      <c r="M50">
        <v>79.192154900054405</v>
      </c>
      <c r="P50">
        <v>79.1761168000521</v>
      </c>
      <c r="Q50">
        <v>79.192154900054405</v>
      </c>
      <c r="R50">
        <v>80.192971899989004</v>
      </c>
      <c r="S50">
        <v>80.177431600051904</v>
      </c>
      <c r="T50">
        <v>80.659375100047299</v>
      </c>
      <c r="U50" t="s">
        <v>33</v>
      </c>
      <c r="V50">
        <v>0</v>
      </c>
      <c r="W50">
        <v>0.46691670001018698</v>
      </c>
      <c r="X50" t="s">
        <v>34</v>
      </c>
      <c r="Y50">
        <v>3</v>
      </c>
      <c r="Z50" t="s">
        <v>35</v>
      </c>
      <c r="AA50">
        <v>1</v>
      </c>
      <c r="AB50" t="s">
        <v>36</v>
      </c>
      <c r="AC50" t="s">
        <v>37</v>
      </c>
      <c r="AE50" t="s">
        <v>38</v>
      </c>
      <c r="AF50">
        <v>59.972964177374401</v>
      </c>
      <c r="AG50" t="s">
        <v>39</v>
      </c>
    </row>
    <row r="51" spans="1:33" x14ac:dyDescent="0.3">
      <c r="A51">
        <v>49</v>
      </c>
      <c r="B51">
        <v>0</v>
      </c>
      <c r="C51">
        <v>49</v>
      </c>
      <c r="D51" t="s">
        <v>33</v>
      </c>
      <c r="E51">
        <v>1</v>
      </c>
      <c r="F51">
        <v>0.52293390000704598</v>
      </c>
      <c r="G51" t="s">
        <v>34</v>
      </c>
      <c r="H51">
        <v>0</v>
      </c>
      <c r="I51">
        <v>49</v>
      </c>
      <c r="J51">
        <v>0</v>
      </c>
      <c r="K51">
        <v>49</v>
      </c>
      <c r="L51">
        <v>0</v>
      </c>
      <c r="M51">
        <v>80.675904600066104</v>
      </c>
      <c r="P51">
        <v>80.659508000011499</v>
      </c>
      <c r="Q51">
        <v>80.675904600066104</v>
      </c>
      <c r="R51">
        <v>81.676354399998601</v>
      </c>
      <c r="S51">
        <v>81.660572299966503</v>
      </c>
      <c r="T51">
        <v>82.193231599987399</v>
      </c>
      <c r="U51" t="s">
        <v>33</v>
      </c>
      <c r="V51">
        <v>1</v>
      </c>
      <c r="W51">
        <v>0.52293390000704598</v>
      </c>
      <c r="X51" t="s">
        <v>34</v>
      </c>
      <c r="Y51">
        <v>0</v>
      </c>
      <c r="Z51" t="s">
        <v>35</v>
      </c>
      <c r="AA51">
        <v>1</v>
      </c>
      <c r="AB51" t="s">
        <v>36</v>
      </c>
      <c r="AC51" t="s">
        <v>37</v>
      </c>
      <c r="AE51" t="s">
        <v>38</v>
      </c>
      <c r="AF51">
        <v>59.972964177374401</v>
      </c>
      <c r="AG51" t="s">
        <v>39</v>
      </c>
    </row>
    <row r="52" spans="1:33" x14ac:dyDescent="0.3">
      <c r="A52">
        <v>50</v>
      </c>
      <c r="B52">
        <v>0</v>
      </c>
      <c r="C52">
        <v>50</v>
      </c>
      <c r="D52" t="s">
        <v>40</v>
      </c>
      <c r="E52">
        <v>0</v>
      </c>
      <c r="F52">
        <v>0.64884070004336503</v>
      </c>
      <c r="G52" t="s">
        <v>34</v>
      </c>
      <c r="H52">
        <v>0</v>
      </c>
      <c r="I52">
        <v>50</v>
      </c>
      <c r="J52">
        <v>0</v>
      </c>
      <c r="K52">
        <v>50</v>
      </c>
      <c r="L52">
        <v>0</v>
      </c>
      <c r="M52">
        <v>82.209660100052105</v>
      </c>
      <c r="P52">
        <v>82.193365100072697</v>
      </c>
      <c r="Q52">
        <v>82.209660100052105</v>
      </c>
      <c r="R52">
        <v>83.209956999984499</v>
      </c>
      <c r="S52">
        <v>83.193059100070897</v>
      </c>
      <c r="T52">
        <v>83.843763699987903</v>
      </c>
      <c r="U52" t="s">
        <v>40</v>
      </c>
      <c r="V52">
        <v>0</v>
      </c>
      <c r="W52">
        <v>0.64884070004336503</v>
      </c>
      <c r="X52" t="s">
        <v>34</v>
      </c>
      <c r="Y52">
        <v>0</v>
      </c>
      <c r="Z52" t="s">
        <v>35</v>
      </c>
      <c r="AA52">
        <v>1</v>
      </c>
      <c r="AB52" t="s">
        <v>36</v>
      </c>
      <c r="AC52" t="s">
        <v>37</v>
      </c>
      <c r="AE52" t="s">
        <v>38</v>
      </c>
      <c r="AF52">
        <v>59.972964177374401</v>
      </c>
      <c r="AG52" t="s">
        <v>39</v>
      </c>
    </row>
    <row r="53" spans="1:33" x14ac:dyDescent="0.3">
      <c r="A53">
        <v>51</v>
      </c>
      <c r="B53">
        <v>0</v>
      </c>
      <c r="C53">
        <v>51</v>
      </c>
      <c r="D53" t="s">
        <v>40</v>
      </c>
      <c r="E53">
        <v>1</v>
      </c>
      <c r="F53">
        <v>0.42783599998801902</v>
      </c>
      <c r="G53" t="s">
        <v>34</v>
      </c>
      <c r="H53">
        <v>-2</v>
      </c>
      <c r="I53">
        <v>51</v>
      </c>
      <c r="J53">
        <v>0</v>
      </c>
      <c r="K53">
        <v>51</v>
      </c>
      <c r="L53">
        <v>0</v>
      </c>
      <c r="M53">
        <v>83.859672200051094</v>
      </c>
      <c r="P53">
        <v>83.843918600003207</v>
      </c>
      <c r="Q53">
        <v>83.859672200051094</v>
      </c>
      <c r="R53">
        <v>84.859479899983796</v>
      </c>
      <c r="S53">
        <v>84.859479899983796</v>
      </c>
      <c r="T53">
        <v>85.293537500081499</v>
      </c>
      <c r="U53" t="s">
        <v>40</v>
      </c>
      <c r="V53">
        <v>1</v>
      </c>
      <c r="W53">
        <v>0.42783599998801902</v>
      </c>
      <c r="X53" t="s">
        <v>34</v>
      </c>
      <c r="Y53">
        <v>-2</v>
      </c>
      <c r="Z53" t="s">
        <v>35</v>
      </c>
      <c r="AA53">
        <v>1</v>
      </c>
      <c r="AB53" t="s">
        <v>36</v>
      </c>
      <c r="AC53" t="s">
        <v>37</v>
      </c>
      <c r="AE53" t="s">
        <v>38</v>
      </c>
      <c r="AF53">
        <v>59.972964177374401</v>
      </c>
      <c r="AG53" t="s">
        <v>39</v>
      </c>
    </row>
    <row r="54" spans="1:33" x14ac:dyDescent="0.3">
      <c r="A54">
        <v>52</v>
      </c>
      <c r="B54">
        <v>0</v>
      </c>
      <c r="C54">
        <v>52</v>
      </c>
      <c r="D54" t="s">
        <v>40</v>
      </c>
      <c r="E54">
        <v>0</v>
      </c>
      <c r="F54">
        <v>1.30146840005181</v>
      </c>
      <c r="G54" t="s">
        <v>34</v>
      </c>
      <c r="H54">
        <v>0</v>
      </c>
      <c r="I54">
        <v>52</v>
      </c>
      <c r="J54">
        <v>0</v>
      </c>
      <c r="K54">
        <v>52</v>
      </c>
      <c r="L54">
        <v>0</v>
      </c>
      <c r="M54">
        <v>85.309353700024005</v>
      </c>
      <c r="P54">
        <v>85.2936711000511</v>
      </c>
      <c r="Q54">
        <v>85.309353700024005</v>
      </c>
      <c r="R54">
        <v>86.3096144000301</v>
      </c>
      <c r="S54">
        <v>86.293016300071002</v>
      </c>
      <c r="T54">
        <v>87.610005800030194</v>
      </c>
      <c r="U54" t="s">
        <v>40</v>
      </c>
      <c r="V54">
        <v>0</v>
      </c>
      <c r="W54">
        <v>1.30146840005181</v>
      </c>
      <c r="X54" t="s">
        <v>34</v>
      </c>
      <c r="Y54">
        <v>0</v>
      </c>
      <c r="Z54" t="s">
        <v>35</v>
      </c>
      <c r="AA54">
        <v>1</v>
      </c>
      <c r="AB54" t="s">
        <v>36</v>
      </c>
      <c r="AC54" t="s">
        <v>37</v>
      </c>
      <c r="AE54" t="s">
        <v>38</v>
      </c>
      <c r="AF54">
        <v>59.972964177374401</v>
      </c>
      <c r="AG54" t="s">
        <v>39</v>
      </c>
    </row>
    <row r="55" spans="1:33" x14ac:dyDescent="0.3">
      <c r="A55">
        <v>53</v>
      </c>
      <c r="B55">
        <v>0</v>
      </c>
      <c r="C55">
        <v>53</v>
      </c>
      <c r="D55" t="s">
        <v>33</v>
      </c>
      <c r="E55">
        <v>0</v>
      </c>
      <c r="F55">
        <v>0.741699900012463</v>
      </c>
      <c r="G55" t="s">
        <v>34</v>
      </c>
      <c r="H55">
        <v>-1</v>
      </c>
      <c r="I55">
        <v>53</v>
      </c>
      <c r="J55">
        <v>0</v>
      </c>
      <c r="K55">
        <v>53</v>
      </c>
      <c r="L55">
        <v>0</v>
      </c>
      <c r="M55">
        <v>87.626268299994905</v>
      </c>
      <c r="P55">
        <v>87.610181899974094</v>
      </c>
      <c r="Q55">
        <v>87.626268299994905</v>
      </c>
      <c r="R55">
        <v>88.626312799984504</v>
      </c>
      <c r="S55">
        <v>88.609800499980295</v>
      </c>
      <c r="T55">
        <v>89.359898800030294</v>
      </c>
      <c r="U55" t="s">
        <v>33</v>
      </c>
      <c r="V55">
        <v>0</v>
      </c>
      <c r="W55">
        <v>0.741699900012463</v>
      </c>
      <c r="X55" t="s">
        <v>34</v>
      </c>
      <c r="Y55">
        <v>-1</v>
      </c>
      <c r="Z55" t="s">
        <v>35</v>
      </c>
      <c r="AA55">
        <v>1</v>
      </c>
      <c r="AB55" t="s">
        <v>36</v>
      </c>
      <c r="AC55" t="s">
        <v>37</v>
      </c>
      <c r="AE55" t="s">
        <v>38</v>
      </c>
      <c r="AF55">
        <v>59.972964177374401</v>
      </c>
      <c r="AG55" t="s">
        <v>39</v>
      </c>
    </row>
    <row r="56" spans="1:33" x14ac:dyDescent="0.3">
      <c r="A56">
        <v>54</v>
      </c>
      <c r="B56">
        <v>0</v>
      </c>
      <c r="C56">
        <v>54</v>
      </c>
      <c r="D56" t="s">
        <v>33</v>
      </c>
      <c r="E56">
        <v>1</v>
      </c>
      <c r="F56">
        <v>0.56791929993778401</v>
      </c>
      <c r="G56" t="s">
        <v>34</v>
      </c>
      <c r="H56">
        <v>0</v>
      </c>
      <c r="I56">
        <v>54</v>
      </c>
      <c r="J56">
        <v>0</v>
      </c>
      <c r="K56">
        <v>54</v>
      </c>
      <c r="L56">
        <v>0</v>
      </c>
      <c r="M56">
        <v>89.375651500071399</v>
      </c>
      <c r="P56">
        <v>89.360030299983904</v>
      </c>
      <c r="Q56">
        <v>89.375651500071399</v>
      </c>
      <c r="R56">
        <v>90.376014900044495</v>
      </c>
      <c r="S56">
        <v>90.376014900044495</v>
      </c>
      <c r="T56">
        <v>90.959100599982705</v>
      </c>
      <c r="U56" t="s">
        <v>33</v>
      </c>
      <c r="V56">
        <v>1</v>
      </c>
      <c r="W56">
        <v>0.56791929993778401</v>
      </c>
      <c r="X56" t="s">
        <v>34</v>
      </c>
      <c r="Y56">
        <v>0</v>
      </c>
      <c r="Z56" t="s">
        <v>35</v>
      </c>
      <c r="AA56">
        <v>1</v>
      </c>
      <c r="AB56" t="s">
        <v>36</v>
      </c>
      <c r="AC56" t="s">
        <v>37</v>
      </c>
      <c r="AE56" t="s">
        <v>38</v>
      </c>
      <c r="AF56">
        <v>59.972964177374401</v>
      </c>
      <c r="AG56" t="s">
        <v>39</v>
      </c>
    </row>
    <row r="57" spans="1:33" x14ac:dyDescent="0.3">
      <c r="A57">
        <v>55</v>
      </c>
      <c r="B57">
        <v>0</v>
      </c>
      <c r="C57">
        <v>55</v>
      </c>
      <c r="D57" t="s">
        <v>33</v>
      </c>
      <c r="E57">
        <v>1</v>
      </c>
      <c r="F57">
        <v>0.45080959994811498</v>
      </c>
      <c r="G57" t="s">
        <v>34</v>
      </c>
      <c r="H57">
        <v>0</v>
      </c>
      <c r="I57">
        <v>55</v>
      </c>
      <c r="J57">
        <v>0</v>
      </c>
      <c r="K57">
        <v>55</v>
      </c>
      <c r="L57">
        <v>0</v>
      </c>
      <c r="M57">
        <v>90.975385900004696</v>
      </c>
      <c r="P57">
        <v>90.959315399988498</v>
      </c>
      <c r="Q57">
        <v>90.975385900004696</v>
      </c>
      <c r="R57">
        <v>91.976047900039703</v>
      </c>
      <c r="S57">
        <v>91.959581600036401</v>
      </c>
      <c r="T57">
        <v>92.4262650000164</v>
      </c>
      <c r="U57" t="s">
        <v>33</v>
      </c>
      <c r="V57">
        <v>1</v>
      </c>
      <c r="W57">
        <v>0.45080959994811498</v>
      </c>
      <c r="X57" t="s">
        <v>34</v>
      </c>
      <c r="Y57">
        <v>0</v>
      </c>
      <c r="Z57" t="s">
        <v>35</v>
      </c>
      <c r="AA57">
        <v>1</v>
      </c>
      <c r="AB57" t="s">
        <v>36</v>
      </c>
      <c r="AC57" t="s">
        <v>37</v>
      </c>
      <c r="AE57" t="s">
        <v>38</v>
      </c>
      <c r="AF57">
        <v>59.972964177374401</v>
      </c>
      <c r="AG57" t="s">
        <v>39</v>
      </c>
    </row>
    <row r="58" spans="1:33" x14ac:dyDescent="0.3">
      <c r="A58">
        <v>56</v>
      </c>
      <c r="B58">
        <v>0</v>
      </c>
      <c r="C58">
        <v>56</v>
      </c>
      <c r="D58" t="s">
        <v>33</v>
      </c>
      <c r="E58">
        <v>1</v>
      </c>
      <c r="F58">
        <v>0.57051280001178295</v>
      </c>
      <c r="G58" t="s">
        <v>34</v>
      </c>
      <c r="H58">
        <v>0</v>
      </c>
      <c r="I58">
        <v>56</v>
      </c>
      <c r="J58">
        <v>0</v>
      </c>
      <c r="K58">
        <v>56</v>
      </c>
      <c r="L58">
        <v>0</v>
      </c>
      <c r="M58">
        <v>92.442497299984097</v>
      </c>
      <c r="P58">
        <v>92.426386800012494</v>
      </c>
      <c r="Q58">
        <v>92.442497299984097</v>
      </c>
      <c r="R58">
        <v>93.442653700010794</v>
      </c>
      <c r="S58">
        <v>93.426017099991398</v>
      </c>
      <c r="T58">
        <v>94.008897599996999</v>
      </c>
      <c r="U58" t="s">
        <v>33</v>
      </c>
      <c r="V58">
        <v>1</v>
      </c>
      <c r="W58">
        <v>0.57051280001178295</v>
      </c>
      <c r="X58" t="s">
        <v>34</v>
      </c>
      <c r="Y58">
        <v>0</v>
      </c>
      <c r="Z58" t="s">
        <v>35</v>
      </c>
      <c r="AA58">
        <v>1</v>
      </c>
      <c r="AB58" t="s">
        <v>36</v>
      </c>
      <c r="AC58" t="s">
        <v>37</v>
      </c>
      <c r="AE58" t="s">
        <v>38</v>
      </c>
      <c r="AF58">
        <v>59.972964177374401</v>
      </c>
      <c r="AG58" t="s">
        <v>39</v>
      </c>
    </row>
    <row r="59" spans="1:33" x14ac:dyDescent="0.3">
      <c r="A59">
        <v>57</v>
      </c>
      <c r="B59">
        <v>0</v>
      </c>
      <c r="C59">
        <v>57</v>
      </c>
      <c r="D59" t="s">
        <v>40</v>
      </c>
      <c r="E59">
        <v>1</v>
      </c>
      <c r="F59">
        <v>0.47932659997604699</v>
      </c>
      <c r="G59" t="s">
        <v>34</v>
      </c>
      <c r="H59">
        <v>-5</v>
      </c>
      <c r="I59">
        <v>57</v>
      </c>
      <c r="J59">
        <v>0</v>
      </c>
      <c r="K59">
        <v>57</v>
      </c>
      <c r="L59">
        <v>0</v>
      </c>
      <c r="M59">
        <v>94.026134200044893</v>
      </c>
      <c r="P59">
        <v>94.009049299987893</v>
      </c>
      <c r="Q59">
        <v>94.026134200044893</v>
      </c>
      <c r="R59">
        <v>95.026209200033904</v>
      </c>
      <c r="S59">
        <v>95.0096155999926</v>
      </c>
      <c r="T59">
        <v>95.492735499981706</v>
      </c>
      <c r="U59" t="s">
        <v>40</v>
      </c>
      <c r="V59">
        <v>1</v>
      </c>
      <c r="W59">
        <v>0.47932659997604699</v>
      </c>
      <c r="X59" t="s">
        <v>34</v>
      </c>
      <c r="Y59">
        <v>-5</v>
      </c>
      <c r="Z59" t="s">
        <v>35</v>
      </c>
      <c r="AA59">
        <v>1</v>
      </c>
      <c r="AB59" t="s">
        <v>36</v>
      </c>
      <c r="AC59" t="s">
        <v>37</v>
      </c>
      <c r="AE59" t="s">
        <v>38</v>
      </c>
      <c r="AF59">
        <v>59.972964177374401</v>
      </c>
      <c r="AG59" t="s">
        <v>39</v>
      </c>
    </row>
    <row r="60" spans="1:33" x14ac:dyDescent="0.3">
      <c r="A60">
        <v>58</v>
      </c>
      <c r="B60">
        <v>0</v>
      </c>
      <c r="C60">
        <v>58</v>
      </c>
      <c r="D60" t="s">
        <v>33</v>
      </c>
      <c r="E60">
        <v>1</v>
      </c>
      <c r="F60">
        <v>0.58463820000179101</v>
      </c>
      <c r="G60" t="s">
        <v>34</v>
      </c>
      <c r="H60">
        <v>0</v>
      </c>
      <c r="I60">
        <v>58</v>
      </c>
      <c r="J60">
        <v>0</v>
      </c>
      <c r="K60">
        <v>58</v>
      </c>
      <c r="L60">
        <v>0</v>
      </c>
      <c r="M60">
        <v>95.509451900026704</v>
      </c>
      <c r="P60">
        <v>95.492865400039506</v>
      </c>
      <c r="Q60">
        <v>95.509451900026704</v>
      </c>
      <c r="R60">
        <v>96.509590400033602</v>
      </c>
      <c r="S60">
        <v>96.492527400027001</v>
      </c>
      <c r="T60">
        <v>97.093066500034098</v>
      </c>
      <c r="U60" t="s">
        <v>33</v>
      </c>
      <c r="V60">
        <v>1</v>
      </c>
      <c r="W60">
        <v>0.58463820000179101</v>
      </c>
      <c r="X60" t="s">
        <v>34</v>
      </c>
      <c r="Y60">
        <v>0</v>
      </c>
      <c r="Z60" t="s">
        <v>35</v>
      </c>
      <c r="AA60">
        <v>1</v>
      </c>
      <c r="AB60" t="s">
        <v>36</v>
      </c>
      <c r="AC60" t="s">
        <v>37</v>
      </c>
      <c r="AE60" t="s">
        <v>38</v>
      </c>
      <c r="AF60">
        <v>59.972964177374401</v>
      </c>
      <c r="AG60" t="s">
        <v>39</v>
      </c>
    </row>
    <row r="61" spans="1:33" x14ac:dyDescent="0.3">
      <c r="A61">
        <v>59</v>
      </c>
      <c r="B61">
        <v>0</v>
      </c>
      <c r="C61">
        <v>59</v>
      </c>
      <c r="D61" t="s">
        <v>33</v>
      </c>
      <c r="E61">
        <v>1</v>
      </c>
      <c r="F61">
        <v>0.58786980004515499</v>
      </c>
      <c r="G61" t="s">
        <v>34</v>
      </c>
      <c r="H61">
        <v>0</v>
      </c>
      <c r="I61">
        <v>59</v>
      </c>
      <c r="J61">
        <v>0</v>
      </c>
      <c r="K61">
        <v>59</v>
      </c>
      <c r="L61">
        <v>0</v>
      </c>
      <c r="M61">
        <v>97.109011200023801</v>
      </c>
      <c r="P61">
        <v>97.093203300028094</v>
      </c>
      <c r="Q61">
        <v>97.109011200023801</v>
      </c>
      <c r="R61">
        <v>98.109897500020395</v>
      </c>
      <c r="S61">
        <v>98.092439300031401</v>
      </c>
      <c r="T61">
        <v>98.693028800072994</v>
      </c>
      <c r="U61" t="s">
        <v>33</v>
      </c>
      <c r="V61">
        <v>1</v>
      </c>
      <c r="W61">
        <v>0.58786980004515499</v>
      </c>
      <c r="X61" t="s">
        <v>34</v>
      </c>
      <c r="Y61">
        <v>0</v>
      </c>
      <c r="Z61" t="s">
        <v>35</v>
      </c>
      <c r="AA61">
        <v>1</v>
      </c>
      <c r="AB61" t="s">
        <v>36</v>
      </c>
      <c r="AC61" t="s">
        <v>37</v>
      </c>
      <c r="AE61" t="s">
        <v>38</v>
      </c>
      <c r="AF61">
        <v>59.972964177374401</v>
      </c>
      <c r="AG61" t="s">
        <v>39</v>
      </c>
    </row>
    <row r="62" spans="1:33" x14ac:dyDescent="0.3">
      <c r="A62">
        <v>60</v>
      </c>
      <c r="B62">
        <v>0</v>
      </c>
      <c r="C62">
        <v>60</v>
      </c>
      <c r="D62" t="s">
        <v>40</v>
      </c>
      <c r="E62">
        <v>1</v>
      </c>
      <c r="F62">
        <v>0.73099589999765102</v>
      </c>
      <c r="G62" t="s">
        <v>34</v>
      </c>
      <c r="H62">
        <v>-2</v>
      </c>
      <c r="I62">
        <v>60</v>
      </c>
      <c r="J62">
        <v>0</v>
      </c>
      <c r="K62">
        <v>60</v>
      </c>
      <c r="L62">
        <v>0</v>
      </c>
      <c r="M62">
        <v>98.708997300011106</v>
      </c>
      <c r="P62">
        <v>98.693206600029896</v>
      </c>
      <c r="Q62">
        <v>98.708997300011106</v>
      </c>
      <c r="R62">
        <v>99.709179600002201</v>
      </c>
      <c r="S62">
        <v>99.691823999979505</v>
      </c>
      <c r="T62">
        <v>100.425728600006</v>
      </c>
      <c r="U62" t="s">
        <v>40</v>
      </c>
      <c r="V62">
        <v>1</v>
      </c>
      <c r="W62">
        <v>0.73099589999765102</v>
      </c>
      <c r="X62" t="s">
        <v>34</v>
      </c>
      <c r="Y62">
        <v>-2</v>
      </c>
      <c r="Z62" t="s">
        <v>35</v>
      </c>
      <c r="AA62">
        <v>1</v>
      </c>
      <c r="AB62" t="s">
        <v>36</v>
      </c>
      <c r="AC62" t="s">
        <v>37</v>
      </c>
      <c r="AE62" t="s">
        <v>38</v>
      </c>
      <c r="AF62">
        <v>59.972964177374401</v>
      </c>
      <c r="AG62" t="s">
        <v>39</v>
      </c>
    </row>
    <row r="63" spans="1:33" x14ac:dyDescent="0.3">
      <c r="A63">
        <v>61</v>
      </c>
      <c r="B63">
        <v>0</v>
      </c>
      <c r="C63">
        <v>61</v>
      </c>
      <c r="D63" t="s">
        <v>40</v>
      </c>
      <c r="E63">
        <v>1</v>
      </c>
      <c r="F63">
        <v>0.46898170001804801</v>
      </c>
      <c r="G63" t="s">
        <v>34</v>
      </c>
      <c r="H63">
        <v>-4</v>
      </c>
      <c r="I63">
        <v>61</v>
      </c>
      <c r="J63">
        <v>0</v>
      </c>
      <c r="K63">
        <v>61</v>
      </c>
      <c r="L63">
        <v>0</v>
      </c>
      <c r="M63">
        <v>100.442363800015</v>
      </c>
      <c r="P63">
        <v>100.425880499999</v>
      </c>
      <c r="Q63">
        <v>100.442363800015</v>
      </c>
      <c r="R63">
        <v>101.442740399972</v>
      </c>
      <c r="S63">
        <v>101.426136999973</v>
      </c>
      <c r="T63">
        <v>101.90913829999</v>
      </c>
      <c r="U63" t="s">
        <v>40</v>
      </c>
      <c r="V63">
        <v>1</v>
      </c>
      <c r="W63">
        <v>0.46898170001804801</v>
      </c>
      <c r="X63" t="s">
        <v>34</v>
      </c>
      <c r="Y63">
        <v>-4</v>
      </c>
      <c r="Z63" t="s">
        <v>35</v>
      </c>
      <c r="AA63">
        <v>1</v>
      </c>
      <c r="AB63" t="s">
        <v>36</v>
      </c>
      <c r="AC63" t="s">
        <v>37</v>
      </c>
      <c r="AE63" t="s">
        <v>38</v>
      </c>
      <c r="AF63">
        <v>59.972964177374401</v>
      </c>
      <c r="AG63" t="s">
        <v>39</v>
      </c>
    </row>
    <row r="64" spans="1:33" x14ac:dyDescent="0.3">
      <c r="A64">
        <v>62</v>
      </c>
      <c r="B64">
        <v>0</v>
      </c>
      <c r="C64">
        <v>62</v>
      </c>
      <c r="D64" t="s">
        <v>40</v>
      </c>
      <c r="E64">
        <v>1</v>
      </c>
      <c r="F64">
        <v>0.46299349993932898</v>
      </c>
      <c r="G64" t="s">
        <v>34</v>
      </c>
      <c r="H64">
        <v>-4</v>
      </c>
      <c r="I64">
        <v>62</v>
      </c>
      <c r="J64">
        <v>0</v>
      </c>
      <c r="K64">
        <v>62</v>
      </c>
      <c r="L64">
        <v>0</v>
      </c>
      <c r="M64">
        <v>101.92544500005801</v>
      </c>
      <c r="P64">
        <v>101.909296900033</v>
      </c>
      <c r="Q64">
        <v>101.92544500005801</v>
      </c>
      <c r="R64">
        <v>102.92613350006199</v>
      </c>
      <c r="S64">
        <v>102.909356800024</v>
      </c>
      <c r="T64">
        <v>103.376090300036</v>
      </c>
      <c r="U64" t="s">
        <v>40</v>
      </c>
      <c r="V64">
        <v>1</v>
      </c>
      <c r="W64">
        <v>0.46299349993932898</v>
      </c>
      <c r="X64" t="s">
        <v>34</v>
      </c>
      <c r="Y64">
        <v>-4</v>
      </c>
      <c r="Z64" t="s">
        <v>35</v>
      </c>
      <c r="AA64">
        <v>1</v>
      </c>
      <c r="AB64" t="s">
        <v>36</v>
      </c>
      <c r="AC64" t="s">
        <v>37</v>
      </c>
      <c r="AE64" t="s">
        <v>38</v>
      </c>
      <c r="AF64">
        <v>59.972964177374401</v>
      </c>
      <c r="AG64" t="s">
        <v>39</v>
      </c>
    </row>
    <row r="65" spans="1:33" x14ac:dyDescent="0.3">
      <c r="A65">
        <v>63</v>
      </c>
      <c r="B65">
        <v>0</v>
      </c>
      <c r="C65">
        <v>63</v>
      </c>
      <c r="D65" t="s">
        <v>33</v>
      </c>
      <c r="E65">
        <v>1</v>
      </c>
      <c r="F65">
        <v>0.61724689998663895</v>
      </c>
      <c r="G65" t="s">
        <v>34</v>
      </c>
      <c r="H65">
        <v>0</v>
      </c>
      <c r="I65">
        <v>63</v>
      </c>
      <c r="J65">
        <v>0</v>
      </c>
      <c r="K65">
        <v>63</v>
      </c>
      <c r="L65">
        <v>0</v>
      </c>
      <c r="M65">
        <v>103.39260959997701</v>
      </c>
      <c r="P65">
        <v>103.376224600011</v>
      </c>
      <c r="Q65">
        <v>103.39260959997701</v>
      </c>
      <c r="R65">
        <v>104.392735800007</v>
      </c>
      <c r="S65">
        <v>104.376087500015</v>
      </c>
      <c r="T65">
        <v>105.00985360005799</v>
      </c>
      <c r="U65" t="s">
        <v>33</v>
      </c>
      <c r="V65">
        <v>1</v>
      </c>
      <c r="W65">
        <v>0.61724689998663895</v>
      </c>
      <c r="X65" t="s">
        <v>34</v>
      </c>
      <c r="Y65">
        <v>0</v>
      </c>
      <c r="Z65" t="s">
        <v>35</v>
      </c>
      <c r="AA65">
        <v>1</v>
      </c>
      <c r="AB65" t="s">
        <v>36</v>
      </c>
      <c r="AC65" t="s">
        <v>37</v>
      </c>
      <c r="AE65" t="s">
        <v>38</v>
      </c>
      <c r="AF65">
        <v>59.972964177374401</v>
      </c>
      <c r="AG65" t="s">
        <v>39</v>
      </c>
    </row>
    <row r="66" spans="1:33" x14ac:dyDescent="0.3">
      <c r="A66">
        <v>64</v>
      </c>
      <c r="B66">
        <v>0</v>
      </c>
      <c r="C66">
        <v>64</v>
      </c>
      <c r="D66" t="s">
        <v>40</v>
      </c>
      <c r="E66">
        <v>1</v>
      </c>
      <c r="F66">
        <v>0.69377170002553601</v>
      </c>
      <c r="G66" t="s">
        <v>34</v>
      </c>
      <c r="H66">
        <v>3</v>
      </c>
      <c r="I66">
        <v>64</v>
      </c>
      <c r="J66">
        <v>0</v>
      </c>
      <c r="K66">
        <v>64</v>
      </c>
      <c r="L66">
        <v>0</v>
      </c>
      <c r="M66">
        <v>105.025386700057</v>
      </c>
      <c r="P66">
        <v>105.010026499978</v>
      </c>
      <c r="Q66">
        <v>105.025386700057</v>
      </c>
      <c r="R66">
        <v>106.026028300053</v>
      </c>
      <c r="S66">
        <v>106.009378300048</v>
      </c>
      <c r="T66">
        <v>106.709618299966</v>
      </c>
      <c r="U66" t="s">
        <v>40</v>
      </c>
      <c r="V66">
        <v>1</v>
      </c>
      <c r="W66">
        <v>0.69377170002553601</v>
      </c>
      <c r="X66" t="s">
        <v>34</v>
      </c>
      <c r="Y66">
        <v>3</v>
      </c>
      <c r="Z66" t="s">
        <v>35</v>
      </c>
      <c r="AA66">
        <v>1</v>
      </c>
      <c r="AB66" t="s">
        <v>36</v>
      </c>
      <c r="AC66" t="s">
        <v>37</v>
      </c>
      <c r="AE66" t="s">
        <v>38</v>
      </c>
      <c r="AF66">
        <v>59.972964177374401</v>
      </c>
      <c r="AG66" t="s">
        <v>39</v>
      </c>
    </row>
    <row r="67" spans="1:33" x14ac:dyDescent="0.3">
      <c r="A67">
        <v>65</v>
      </c>
      <c r="B67">
        <v>0</v>
      </c>
      <c r="C67">
        <v>65</v>
      </c>
      <c r="D67" t="s">
        <v>33</v>
      </c>
      <c r="E67">
        <v>1</v>
      </c>
      <c r="F67">
        <v>0.51849889999721199</v>
      </c>
      <c r="G67" t="s">
        <v>34</v>
      </c>
      <c r="H67">
        <v>0</v>
      </c>
      <c r="I67">
        <v>65</v>
      </c>
      <c r="J67">
        <v>0</v>
      </c>
      <c r="K67">
        <v>65</v>
      </c>
      <c r="L67">
        <v>0</v>
      </c>
      <c r="M67">
        <v>106.72591270005699</v>
      </c>
      <c r="P67">
        <v>106.709747200016</v>
      </c>
      <c r="Q67">
        <v>106.72591270005699</v>
      </c>
      <c r="R67">
        <v>107.72522030002401</v>
      </c>
      <c r="S67">
        <v>107.708774800063</v>
      </c>
      <c r="T67">
        <v>108.242866500047</v>
      </c>
      <c r="U67" t="s">
        <v>33</v>
      </c>
      <c r="V67">
        <v>1</v>
      </c>
      <c r="W67">
        <v>0.51849889999721199</v>
      </c>
      <c r="X67" t="s">
        <v>34</v>
      </c>
      <c r="Y67">
        <v>0</v>
      </c>
      <c r="Z67" t="s">
        <v>35</v>
      </c>
      <c r="AA67">
        <v>1</v>
      </c>
      <c r="AB67" t="s">
        <v>36</v>
      </c>
      <c r="AC67" t="s">
        <v>37</v>
      </c>
      <c r="AE67" t="s">
        <v>38</v>
      </c>
      <c r="AF67">
        <v>59.972964177374401</v>
      </c>
      <c r="AG67" t="s">
        <v>39</v>
      </c>
    </row>
    <row r="68" spans="1:33" x14ac:dyDescent="0.3">
      <c r="A68">
        <v>66</v>
      </c>
      <c r="B68">
        <v>0</v>
      </c>
      <c r="C68">
        <v>66</v>
      </c>
      <c r="D68" t="s">
        <v>33</v>
      </c>
      <c r="E68">
        <v>1</v>
      </c>
      <c r="F68">
        <v>0.52152940002269998</v>
      </c>
      <c r="G68" t="s">
        <v>34</v>
      </c>
      <c r="H68">
        <v>0</v>
      </c>
      <c r="I68">
        <v>66</v>
      </c>
      <c r="J68">
        <v>0</v>
      </c>
      <c r="K68">
        <v>66</v>
      </c>
      <c r="L68">
        <v>0</v>
      </c>
      <c r="M68">
        <v>108.258477400057</v>
      </c>
      <c r="P68">
        <v>108.243058699998</v>
      </c>
      <c r="Q68">
        <v>108.258477400057</v>
      </c>
      <c r="R68">
        <v>109.25905750005001</v>
      </c>
      <c r="S68">
        <v>109.242177400039</v>
      </c>
      <c r="T68">
        <v>109.776018299977</v>
      </c>
      <c r="U68" t="s">
        <v>33</v>
      </c>
      <c r="V68">
        <v>1</v>
      </c>
      <c r="W68">
        <v>0.52152940002269998</v>
      </c>
      <c r="X68" t="s">
        <v>34</v>
      </c>
      <c r="Y68">
        <v>0</v>
      </c>
      <c r="Z68" t="s">
        <v>35</v>
      </c>
      <c r="AA68">
        <v>1</v>
      </c>
      <c r="AB68" t="s">
        <v>36</v>
      </c>
      <c r="AC68" t="s">
        <v>37</v>
      </c>
      <c r="AE68" t="s">
        <v>38</v>
      </c>
      <c r="AF68">
        <v>59.972964177374401</v>
      </c>
      <c r="AG68" t="s">
        <v>39</v>
      </c>
    </row>
    <row r="69" spans="1:33" x14ac:dyDescent="0.3">
      <c r="A69">
        <v>67</v>
      </c>
      <c r="B69">
        <v>0</v>
      </c>
      <c r="C69">
        <v>67</v>
      </c>
      <c r="D69" t="s">
        <v>40</v>
      </c>
      <c r="E69">
        <v>1</v>
      </c>
      <c r="F69">
        <v>0.48248919995967299</v>
      </c>
      <c r="G69" t="s">
        <v>34</v>
      </c>
      <c r="H69">
        <v>-3</v>
      </c>
      <c r="I69">
        <v>67</v>
      </c>
      <c r="J69">
        <v>0</v>
      </c>
      <c r="K69">
        <v>67</v>
      </c>
      <c r="L69">
        <v>0</v>
      </c>
      <c r="M69">
        <v>109.79212029999999</v>
      </c>
      <c r="P69">
        <v>109.776172499987</v>
      </c>
      <c r="Q69">
        <v>109.79212029999999</v>
      </c>
      <c r="R69">
        <v>110.792243000003</v>
      </c>
      <c r="S69">
        <v>110.775665200082</v>
      </c>
      <c r="T69">
        <v>111.260112000047</v>
      </c>
      <c r="U69" t="s">
        <v>40</v>
      </c>
      <c r="V69">
        <v>1</v>
      </c>
      <c r="W69">
        <v>0.48248919995967299</v>
      </c>
      <c r="X69" t="s">
        <v>34</v>
      </c>
      <c r="Y69">
        <v>-3</v>
      </c>
      <c r="Z69" t="s">
        <v>35</v>
      </c>
      <c r="AA69">
        <v>1</v>
      </c>
      <c r="AB69" t="s">
        <v>36</v>
      </c>
      <c r="AC69" t="s">
        <v>37</v>
      </c>
      <c r="AE69" t="s">
        <v>38</v>
      </c>
      <c r="AF69">
        <v>59.972964177374401</v>
      </c>
      <c r="AG69" t="s">
        <v>39</v>
      </c>
    </row>
    <row r="70" spans="1:33" x14ac:dyDescent="0.3">
      <c r="A70">
        <v>68</v>
      </c>
      <c r="B70">
        <v>0</v>
      </c>
      <c r="C70">
        <v>68</v>
      </c>
      <c r="D70" t="s">
        <v>40</v>
      </c>
      <c r="E70">
        <v>1</v>
      </c>
      <c r="F70">
        <v>0.41708099993411402</v>
      </c>
      <c r="G70" t="s">
        <v>34</v>
      </c>
      <c r="H70">
        <v>-1</v>
      </c>
      <c r="I70">
        <v>68</v>
      </c>
      <c r="J70">
        <v>0</v>
      </c>
      <c r="K70">
        <v>68</v>
      </c>
      <c r="L70">
        <v>0</v>
      </c>
      <c r="M70">
        <v>111.275704900035</v>
      </c>
      <c r="P70">
        <v>111.260288999998</v>
      </c>
      <c r="Q70">
        <v>111.275704900035</v>
      </c>
      <c r="R70">
        <v>112.27595749998</v>
      </c>
      <c r="S70">
        <v>112.27595749998</v>
      </c>
      <c r="T70">
        <v>112.69357200001799</v>
      </c>
      <c r="U70" t="s">
        <v>40</v>
      </c>
      <c r="V70">
        <v>1</v>
      </c>
      <c r="W70">
        <v>0.41708099993411402</v>
      </c>
      <c r="X70" t="s">
        <v>34</v>
      </c>
      <c r="Y70">
        <v>-1</v>
      </c>
      <c r="Z70" t="s">
        <v>35</v>
      </c>
      <c r="AA70">
        <v>1</v>
      </c>
      <c r="AB70" t="s">
        <v>36</v>
      </c>
      <c r="AC70" t="s">
        <v>37</v>
      </c>
      <c r="AE70" t="s">
        <v>38</v>
      </c>
      <c r="AF70">
        <v>59.972964177374401</v>
      </c>
      <c r="AG70" t="s">
        <v>39</v>
      </c>
    </row>
    <row r="71" spans="1:33" x14ac:dyDescent="0.3">
      <c r="A71">
        <v>69</v>
      </c>
      <c r="B71">
        <v>0</v>
      </c>
      <c r="C71">
        <v>69</v>
      </c>
      <c r="D71" t="s">
        <v>33</v>
      </c>
      <c r="E71">
        <v>1</v>
      </c>
      <c r="F71">
        <v>0.58942470001056702</v>
      </c>
      <c r="G71" t="s">
        <v>34</v>
      </c>
      <c r="H71">
        <v>0</v>
      </c>
      <c r="I71">
        <v>69</v>
      </c>
      <c r="J71">
        <v>0</v>
      </c>
      <c r="K71">
        <v>69</v>
      </c>
      <c r="L71">
        <v>0</v>
      </c>
      <c r="M71">
        <v>112.709147899993</v>
      </c>
      <c r="P71">
        <v>112.69374969997401</v>
      </c>
      <c r="Q71">
        <v>112.709147899993</v>
      </c>
      <c r="R71">
        <v>113.709063800051</v>
      </c>
      <c r="S71">
        <v>113.709063800051</v>
      </c>
      <c r="T71">
        <v>114.309021000051</v>
      </c>
      <c r="U71" t="s">
        <v>33</v>
      </c>
      <c r="V71">
        <v>1</v>
      </c>
      <c r="W71">
        <v>0.58942470001056702</v>
      </c>
      <c r="X71" t="s">
        <v>34</v>
      </c>
      <c r="Y71">
        <v>0</v>
      </c>
      <c r="Z71" t="s">
        <v>35</v>
      </c>
      <c r="AA71">
        <v>1</v>
      </c>
      <c r="AB71" t="s">
        <v>36</v>
      </c>
      <c r="AC71" t="s">
        <v>37</v>
      </c>
      <c r="AE71" t="s">
        <v>38</v>
      </c>
      <c r="AF71">
        <v>59.972964177374401</v>
      </c>
      <c r="AG71" t="s">
        <v>39</v>
      </c>
    </row>
    <row r="72" spans="1:33" x14ac:dyDescent="0.3">
      <c r="A72">
        <v>70</v>
      </c>
      <c r="B72">
        <v>0</v>
      </c>
      <c r="C72">
        <v>70</v>
      </c>
      <c r="D72" t="s">
        <v>33</v>
      </c>
      <c r="E72">
        <v>1</v>
      </c>
      <c r="F72">
        <v>0.99555530003271997</v>
      </c>
      <c r="G72" t="s">
        <v>34</v>
      </c>
      <c r="H72">
        <v>0</v>
      </c>
      <c r="I72">
        <v>70</v>
      </c>
      <c r="J72">
        <v>0</v>
      </c>
      <c r="K72">
        <v>70</v>
      </c>
      <c r="L72">
        <v>0</v>
      </c>
      <c r="M72">
        <v>114.325622800039</v>
      </c>
      <c r="P72">
        <v>114.309200600022</v>
      </c>
      <c r="Q72">
        <v>114.325622800039</v>
      </c>
      <c r="R72">
        <v>115.325422000023</v>
      </c>
      <c r="S72">
        <v>115.30923939996801</v>
      </c>
      <c r="T72">
        <v>116.309249700047</v>
      </c>
      <c r="U72" t="s">
        <v>33</v>
      </c>
      <c r="V72">
        <v>1</v>
      </c>
      <c r="W72">
        <v>0.99555530003271997</v>
      </c>
      <c r="X72" t="s">
        <v>34</v>
      </c>
      <c r="Y72">
        <v>0</v>
      </c>
      <c r="Z72" t="s">
        <v>35</v>
      </c>
      <c r="AA72">
        <v>1</v>
      </c>
      <c r="AB72" t="s">
        <v>36</v>
      </c>
      <c r="AC72" t="s">
        <v>37</v>
      </c>
      <c r="AE72" t="s">
        <v>38</v>
      </c>
      <c r="AF72">
        <v>59.972964177374401</v>
      </c>
      <c r="AG72" t="s">
        <v>39</v>
      </c>
    </row>
    <row r="73" spans="1:33" x14ac:dyDescent="0.3">
      <c r="A73">
        <v>71</v>
      </c>
      <c r="B73">
        <v>0</v>
      </c>
      <c r="C73">
        <v>71</v>
      </c>
      <c r="D73" t="s">
        <v>33</v>
      </c>
      <c r="E73">
        <v>1</v>
      </c>
      <c r="F73">
        <v>0.60775099997408599</v>
      </c>
      <c r="G73" t="s">
        <v>34</v>
      </c>
      <c r="H73">
        <v>0</v>
      </c>
      <c r="I73">
        <v>71</v>
      </c>
      <c r="J73">
        <v>0</v>
      </c>
      <c r="K73">
        <v>71</v>
      </c>
      <c r="L73">
        <v>0</v>
      </c>
      <c r="M73">
        <v>116.325784199987</v>
      </c>
      <c r="P73">
        <v>116.309433200047</v>
      </c>
      <c r="Q73">
        <v>116.325784199987</v>
      </c>
      <c r="R73">
        <v>117.32561639999</v>
      </c>
      <c r="S73">
        <v>117.309589000069</v>
      </c>
      <c r="T73">
        <v>117.92587470007101</v>
      </c>
      <c r="U73" t="s">
        <v>33</v>
      </c>
      <c r="V73">
        <v>1</v>
      </c>
      <c r="W73">
        <v>0.60775099997408599</v>
      </c>
      <c r="X73" t="s">
        <v>34</v>
      </c>
      <c r="Y73">
        <v>0</v>
      </c>
      <c r="Z73" t="s">
        <v>35</v>
      </c>
      <c r="AA73">
        <v>1</v>
      </c>
      <c r="AB73" t="s">
        <v>36</v>
      </c>
      <c r="AC73" t="s">
        <v>37</v>
      </c>
      <c r="AE73" t="s">
        <v>38</v>
      </c>
      <c r="AF73">
        <v>59.972964177374401</v>
      </c>
      <c r="AG73" t="s">
        <v>39</v>
      </c>
    </row>
    <row r="74" spans="1:33" x14ac:dyDescent="0.3">
      <c r="A74">
        <v>72</v>
      </c>
      <c r="B74">
        <v>0</v>
      </c>
      <c r="C74">
        <v>72</v>
      </c>
      <c r="D74" t="s">
        <v>33</v>
      </c>
      <c r="E74">
        <v>1</v>
      </c>
      <c r="F74">
        <v>0.77138080005533904</v>
      </c>
      <c r="G74" t="s">
        <v>34</v>
      </c>
      <c r="H74">
        <v>0</v>
      </c>
      <c r="I74">
        <v>72</v>
      </c>
      <c r="J74">
        <v>0</v>
      </c>
      <c r="K74">
        <v>72</v>
      </c>
      <c r="L74">
        <v>0</v>
      </c>
      <c r="M74">
        <v>117.942278400063</v>
      </c>
      <c r="P74">
        <v>117.92600730003301</v>
      </c>
      <c r="Q74">
        <v>117.942278400063</v>
      </c>
      <c r="R74">
        <v>118.942040099995</v>
      </c>
      <c r="S74">
        <v>118.92615219997199</v>
      </c>
      <c r="T74">
        <v>119.709418100072</v>
      </c>
      <c r="U74" t="s">
        <v>33</v>
      </c>
      <c r="V74">
        <v>1</v>
      </c>
      <c r="W74">
        <v>0.77138080005533904</v>
      </c>
      <c r="X74" t="s">
        <v>34</v>
      </c>
      <c r="Y74">
        <v>0</v>
      </c>
      <c r="Z74" t="s">
        <v>35</v>
      </c>
      <c r="AA74">
        <v>1</v>
      </c>
      <c r="AB74" t="s">
        <v>36</v>
      </c>
      <c r="AC74" t="s">
        <v>37</v>
      </c>
      <c r="AE74" t="s">
        <v>38</v>
      </c>
      <c r="AF74">
        <v>59.972964177374401</v>
      </c>
      <c r="AG74" t="s">
        <v>39</v>
      </c>
    </row>
    <row r="75" spans="1:33" x14ac:dyDescent="0.3">
      <c r="A75">
        <v>73</v>
      </c>
      <c r="B75">
        <v>0</v>
      </c>
      <c r="C75">
        <v>73</v>
      </c>
      <c r="D75" t="s">
        <v>33</v>
      </c>
      <c r="E75">
        <v>1</v>
      </c>
      <c r="F75">
        <v>0.49672080005984698</v>
      </c>
      <c r="G75" t="s">
        <v>34</v>
      </c>
      <c r="H75">
        <v>0</v>
      </c>
      <c r="I75">
        <v>73</v>
      </c>
      <c r="J75">
        <v>0</v>
      </c>
      <c r="K75">
        <v>73</v>
      </c>
      <c r="L75">
        <v>0</v>
      </c>
      <c r="M75">
        <v>119.72574270004399</v>
      </c>
      <c r="P75">
        <v>119.70954850001699</v>
      </c>
      <c r="Q75">
        <v>119.72574270004399</v>
      </c>
      <c r="R75">
        <v>120.72566710005</v>
      </c>
      <c r="S75">
        <v>120.709158500074</v>
      </c>
      <c r="T75">
        <v>121.20903120003599</v>
      </c>
      <c r="U75" t="s">
        <v>33</v>
      </c>
      <c r="V75">
        <v>1</v>
      </c>
      <c r="W75">
        <v>0.49672080005984698</v>
      </c>
      <c r="X75" t="s">
        <v>34</v>
      </c>
      <c r="Y75">
        <v>0</v>
      </c>
      <c r="Z75" t="s">
        <v>35</v>
      </c>
      <c r="AA75">
        <v>1</v>
      </c>
      <c r="AB75" t="s">
        <v>36</v>
      </c>
      <c r="AC75" t="s">
        <v>37</v>
      </c>
      <c r="AE75" t="s">
        <v>38</v>
      </c>
      <c r="AF75">
        <v>59.972964177374401</v>
      </c>
      <c r="AG75" t="s">
        <v>39</v>
      </c>
    </row>
    <row r="76" spans="1:33" x14ac:dyDescent="0.3">
      <c r="A76">
        <v>74</v>
      </c>
      <c r="B76">
        <v>0</v>
      </c>
      <c r="C76">
        <v>74</v>
      </c>
      <c r="D76" t="s">
        <v>33</v>
      </c>
      <c r="E76">
        <v>1</v>
      </c>
      <c r="F76">
        <v>0.70388709998223897</v>
      </c>
      <c r="G76" t="s">
        <v>34</v>
      </c>
      <c r="H76">
        <v>0</v>
      </c>
      <c r="I76">
        <v>74</v>
      </c>
      <c r="J76">
        <v>0</v>
      </c>
      <c r="K76">
        <v>74</v>
      </c>
      <c r="L76">
        <v>0</v>
      </c>
      <c r="M76">
        <v>121.225647800019</v>
      </c>
      <c r="P76">
        <v>121.20916019997</v>
      </c>
      <c r="Q76">
        <v>121.225647800019</v>
      </c>
      <c r="R76">
        <v>122.225765999988</v>
      </c>
      <c r="S76">
        <v>122.20908369996999</v>
      </c>
      <c r="T76">
        <v>122.92532789998199</v>
      </c>
      <c r="U76" t="s">
        <v>33</v>
      </c>
      <c r="V76">
        <v>1</v>
      </c>
      <c r="W76">
        <v>0.70388709998223897</v>
      </c>
      <c r="X76" t="s">
        <v>34</v>
      </c>
      <c r="Y76">
        <v>0</v>
      </c>
      <c r="Z76" t="s">
        <v>35</v>
      </c>
      <c r="AA76">
        <v>1</v>
      </c>
      <c r="AB76" t="s">
        <v>36</v>
      </c>
      <c r="AC76" t="s">
        <v>37</v>
      </c>
      <c r="AE76" t="s">
        <v>38</v>
      </c>
      <c r="AF76">
        <v>59.972964177374401</v>
      </c>
      <c r="AG76" t="s">
        <v>39</v>
      </c>
    </row>
    <row r="77" spans="1:33" x14ac:dyDescent="0.3">
      <c r="A77">
        <v>75</v>
      </c>
      <c r="B77">
        <v>0</v>
      </c>
      <c r="C77">
        <v>75</v>
      </c>
      <c r="D77" t="s">
        <v>40</v>
      </c>
      <c r="E77">
        <v>1</v>
      </c>
      <c r="F77">
        <v>0.55958889995235905</v>
      </c>
      <c r="G77" t="s">
        <v>34</v>
      </c>
      <c r="H77">
        <v>3</v>
      </c>
      <c r="I77">
        <v>75</v>
      </c>
      <c r="J77">
        <v>0</v>
      </c>
      <c r="K77">
        <v>75</v>
      </c>
      <c r="L77">
        <v>0</v>
      </c>
      <c r="M77">
        <v>122.941651300061</v>
      </c>
      <c r="P77">
        <v>122.925595200038</v>
      </c>
      <c r="Q77">
        <v>122.941651300061</v>
      </c>
      <c r="R77">
        <v>123.94236760004399</v>
      </c>
      <c r="S77">
        <v>123.92537169996601</v>
      </c>
      <c r="T77">
        <v>124.492439600056</v>
      </c>
      <c r="U77" t="s">
        <v>40</v>
      </c>
      <c r="V77">
        <v>1</v>
      </c>
      <c r="W77">
        <v>0.55958889995235905</v>
      </c>
      <c r="X77" t="s">
        <v>34</v>
      </c>
      <c r="Y77">
        <v>3</v>
      </c>
      <c r="Z77" t="s">
        <v>35</v>
      </c>
      <c r="AA77">
        <v>1</v>
      </c>
      <c r="AB77" t="s">
        <v>36</v>
      </c>
      <c r="AC77" t="s">
        <v>37</v>
      </c>
      <c r="AE77" t="s">
        <v>38</v>
      </c>
      <c r="AF77">
        <v>59.972964177374401</v>
      </c>
      <c r="AG77" t="s">
        <v>39</v>
      </c>
    </row>
    <row r="78" spans="1:33" x14ac:dyDescent="0.3">
      <c r="A78">
        <v>76</v>
      </c>
      <c r="B78">
        <v>0</v>
      </c>
      <c r="C78">
        <v>76</v>
      </c>
      <c r="D78" t="s">
        <v>33</v>
      </c>
      <c r="E78">
        <v>1</v>
      </c>
      <c r="F78">
        <v>0.95004939998034299</v>
      </c>
      <c r="G78" t="s">
        <v>34</v>
      </c>
      <c r="H78">
        <v>0</v>
      </c>
      <c r="I78">
        <v>76</v>
      </c>
      <c r="J78">
        <v>0</v>
      </c>
      <c r="K78">
        <v>76</v>
      </c>
      <c r="L78">
        <v>0</v>
      </c>
      <c r="M78">
        <v>124.50881470006399</v>
      </c>
      <c r="P78">
        <v>124.49257340002799</v>
      </c>
      <c r="Q78">
        <v>124.50881470006399</v>
      </c>
      <c r="R78">
        <v>125.508976900018</v>
      </c>
      <c r="S78">
        <v>125.49218130006901</v>
      </c>
      <c r="T78">
        <v>126.442757499986</v>
      </c>
      <c r="U78" t="s">
        <v>33</v>
      </c>
      <c r="V78">
        <v>1</v>
      </c>
      <c r="W78">
        <v>0.95004939998034299</v>
      </c>
      <c r="X78" t="s">
        <v>34</v>
      </c>
      <c r="Y78">
        <v>0</v>
      </c>
      <c r="Z78" t="s">
        <v>35</v>
      </c>
      <c r="AA78">
        <v>1</v>
      </c>
      <c r="AB78" t="s">
        <v>36</v>
      </c>
      <c r="AC78" t="s">
        <v>37</v>
      </c>
      <c r="AE78" t="s">
        <v>38</v>
      </c>
      <c r="AF78">
        <v>59.972964177374401</v>
      </c>
      <c r="AG78" t="s">
        <v>39</v>
      </c>
    </row>
    <row r="79" spans="1:33" x14ac:dyDescent="0.3">
      <c r="A79">
        <v>77</v>
      </c>
      <c r="B79">
        <v>0</v>
      </c>
      <c r="C79">
        <v>77</v>
      </c>
      <c r="D79" t="s">
        <v>33</v>
      </c>
      <c r="E79">
        <v>1</v>
      </c>
      <c r="F79">
        <v>0.74098020000383202</v>
      </c>
      <c r="G79" t="s">
        <v>34</v>
      </c>
      <c r="H79">
        <v>0</v>
      </c>
      <c r="I79">
        <v>77</v>
      </c>
      <c r="J79">
        <v>0</v>
      </c>
      <c r="K79">
        <v>77</v>
      </c>
      <c r="L79">
        <v>0</v>
      </c>
      <c r="M79">
        <v>126.458676700014</v>
      </c>
      <c r="P79">
        <v>126.44288820005001</v>
      </c>
      <c r="Q79">
        <v>126.458676700014</v>
      </c>
      <c r="R79">
        <v>127.45885200006801</v>
      </c>
      <c r="S79">
        <v>127.442106800037</v>
      </c>
      <c r="T79">
        <v>128.19230240001301</v>
      </c>
      <c r="U79" t="s">
        <v>33</v>
      </c>
      <c r="V79">
        <v>1</v>
      </c>
      <c r="W79">
        <v>0.74098020000383202</v>
      </c>
      <c r="X79" t="s">
        <v>34</v>
      </c>
      <c r="Y79">
        <v>0</v>
      </c>
      <c r="Z79" t="s">
        <v>35</v>
      </c>
      <c r="AA79">
        <v>1</v>
      </c>
      <c r="AB79" t="s">
        <v>36</v>
      </c>
      <c r="AC79" t="s">
        <v>37</v>
      </c>
      <c r="AE79" t="s">
        <v>38</v>
      </c>
      <c r="AF79">
        <v>59.972964177374401</v>
      </c>
      <c r="AG79" t="s">
        <v>39</v>
      </c>
    </row>
    <row r="80" spans="1:33" x14ac:dyDescent="0.3">
      <c r="A80">
        <v>78</v>
      </c>
      <c r="B80">
        <v>0</v>
      </c>
      <c r="C80">
        <v>78</v>
      </c>
      <c r="D80" t="s">
        <v>33</v>
      </c>
      <c r="E80">
        <v>0</v>
      </c>
      <c r="F80">
        <v>0.87768639996647801</v>
      </c>
      <c r="G80" t="s">
        <v>34</v>
      </c>
      <c r="H80">
        <v>0</v>
      </c>
      <c r="I80">
        <v>78</v>
      </c>
      <c r="J80">
        <v>0</v>
      </c>
      <c r="K80">
        <v>78</v>
      </c>
      <c r="L80">
        <v>0</v>
      </c>
      <c r="M80">
        <v>128.208450200036</v>
      </c>
      <c r="P80">
        <v>128.19244690006599</v>
      </c>
      <c r="Q80">
        <v>128.208450200036</v>
      </c>
      <c r="R80">
        <v>129.208591700065</v>
      </c>
      <c r="S80">
        <v>129.192237499984</v>
      </c>
      <c r="T80">
        <v>130.07504979998299</v>
      </c>
      <c r="U80" t="s">
        <v>33</v>
      </c>
      <c r="V80">
        <v>0</v>
      </c>
      <c r="W80">
        <v>0.87768639996647801</v>
      </c>
      <c r="X80" t="s">
        <v>34</v>
      </c>
      <c r="Y80">
        <v>0</v>
      </c>
      <c r="Z80" t="s">
        <v>35</v>
      </c>
      <c r="AA80">
        <v>1</v>
      </c>
      <c r="AB80" t="s">
        <v>36</v>
      </c>
      <c r="AC80" t="s">
        <v>37</v>
      </c>
      <c r="AE80" t="s">
        <v>38</v>
      </c>
      <c r="AF80">
        <v>59.972964177374401</v>
      </c>
      <c r="AG80" t="s">
        <v>39</v>
      </c>
    </row>
    <row r="81" spans="1:33" x14ac:dyDescent="0.3">
      <c r="A81">
        <v>79</v>
      </c>
      <c r="B81">
        <v>0</v>
      </c>
      <c r="C81">
        <v>79</v>
      </c>
      <c r="D81" t="s">
        <v>40</v>
      </c>
      <c r="E81">
        <v>1</v>
      </c>
      <c r="F81">
        <v>0.36619090009480698</v>
      </c>
      <c r="G81" t="s">
        <v>34</v>
      </c>
      <c r="H81">
        <v>-5</v>
      </c>
      <c r="I81">
        <v>79</v>
      </c>
      <c r="J81">
        <v>0</v>
      </c>
      <c r="K81">
        <v>79</v>
      </c>
      <c r="L81">
        <v>0</v>
      </c>
      <c r="M81">
        <v>130.09209529997301</v>
      </c>
      <c r="P81">
        <v>130.07520500000101</v>
      </c>
      <c r="Q81">
        <v>130.09209529997301</v>
      </c>
      <c r="R81">
        <v>131.091920600039</v>
      </c>
      <c r="S81">
        <v>131.074735400034</v>
      </c>
      <c r="T81">
        <v>131.44244900008101</v>
      </c>
      <c r="U81" t="s">
        <v>40</v>
      </c>
      <c r="V81">
        <v>1</v>
      </c>
      <c r="W81">
        <v>0.36619090009480698</v>
      </c>
      <c r="X81" t="s">
        <v>34</v>
      </c>
      <c r="Y81">
        <v>-5</v>
      </c>
      <c r="Z81" t="s">
        <v>35</v>
      </c>
      <c r="AA81">
        <v>1</v>
      </c>
      <c r="AB81" t="s">
        <v>36</v>
      </c>
      <c r="AC81" t="s">
        <v>37</v>
      </c>
      <c r="AE81" t="s">
        <v>38</v>
      </c>
      <c r="AF81">
        <v>59.972964177374401</v>
      </c>
      <c r="AG81" t="s">
        <v>39</v>
      </c>
    </row>
    <row r="82" spans="1:33" x14ac:dyDescent="0.3">
      <c r="A82">
        <v>80</v>
      </c>
      <c r="B82">
        <v>0</v>
      </c>
      <c r="C82">
        <v>80</v>
      </c>
      <c r="D82" t="s">
        <v>33</v>
      </c>
      <c r="E82">
        <v>1</v>
      </c>
      <c r="F82">
        <v>0.65814690000843201</v>
      </c>
      <c r="G82" t="s">
        <v>34</v>
      </c>
      <c r="H82">
        <v>0</v>
      </c>
      <c r="I82">
        <v>80</v>
      </c>
      <c r="J82">
        <v>0</v>
      </c>
      <c r="K82">
        <v>80</v>
      </c>
      <c r="L82">
        <v>0</v>
      </c>
      <c r="M82">
        <v>131.45867279998399</v>
      </c>
      <c r="P82">
        <v>131.442584300064</v>
      </c>
      <c r="Q82">
        <v>131.45867279998399</v>
      </c>
      <c r="R82">
        <v>132.458624699967</v>
      </c>
      <c r="S82">
        <v>132.44135680003001</v>
      </c>
      <c r="T82">
        <v>133.10854380007299</v>
      </c>
      <c r="U82" t="s">
        <v>33</v>
      </c>
      <c r="V82">
        <v>1</v>
      </c>
      <c r="W82">
        <v>0.65814690000843201</v>
      </c>
      <c r="X82" t="s">
        <v>34</v>
      </c>
      <c r="Y82">
        <v>0</v>
      </c>
      <c r="Z82" t="s">
        <v>35</v>
      </c>
      <c r="AA82">
        <v>1</v>
      </c>
      <c r="AB82" t="s">
        <v>36</v>
      </c>
      <c r="AC82" t="s">
        <v>37</v>
      </c>
      <c r="AE82" t="s">
        <v>38</v>
      </c>
      <c r="AF82">
        <v>59.972964177374401</v>
      </c>
      <c r="AG82" t="s">
        <v>39</v>
      </c>
    </row>
    <row r="83" spans="1:33" x14ac:dyDescent="0.3">
      <c r="A83">
        <v>81</v>
      </c>
      <c r="B83">
        <v>0</v>
      </c>
      <c r="C83">
        <v>81</v>
      </c>
      <c r="D83" t="s">
        <v>33</v>
      </c>
      <c r="E83">
        <v>0</v>
      </c>
      <c r="F83">
        <v>0.51731619995553002</v>
      </c>
      <c r="G83" t="s">
        <v>34</v>
      </c>
      <c r="H83">
        <v>2</v>
      </c>
      <c r="I83">
        <v>81</v>
      </c>
      <c r="J83">
        <v>0</v>
      </c>
      <c r="K83">
        <v>81</v>
      </c>
      <c r="L83">
        <v>0</v>
      </c>
      <c r="M83">
        <v>133.12485430005401</v>
      </c>
      <c r="P83">
        <v>133.10869460005699</v>
      </c>
      <c r="Q83">
        <v>133.12485430005401</v>
      </c>
      <c r="R83">
        <v>134.12632230005599</v>
      </c>
      <c r="S83">
        <v>134.10865349997701</v>
      </c>
      <c r="T83">
        <v>134.62650340003799</v>
      </c>
      <c r="U83" t="s">
        <v>33</v>
      </c>
      <c r="V83">
        <v>0</v>
      </c>
      <c r="W83">
        <v>0.51731619995553002</v>
      </c>
      <c r="X83" t="s">
        <v>34</v>
      </c>
      <c r="Y83">
        <v>2</v>
      </c>
      <c r="Z83" t="s">
        <v>35</v>
      </c>
      <c r="AA83">
        <v>1</v>
      </c>
      <c r="AB83" t="s">
        <v>36</v>
      </c>
      <c r="AC83" t="s">
        <v>37</v>
      </c>
      <c r="AE83" t="s">
        <v>38</v>
      </c>
      <c r="AF83">
        <v>59.972964177374401</v>
      </c>
      <c r="AG83" t="s">
        <v>39</v>
      </c>
    </row>
    <row r="84" spans="1:33" x14ac:dyDescent="0.3">
      <c r="A84">
        <v>82</v>
      </c>
      <c r="B84">
        <v>0</v>
      </c>
      <c r="C84">
        <v>82</v>
      </c>
      <c r="D84" t="s">
        <v>40</v>
      </c>
      <c r="E84">
        <v>1</v>
      </c>
      <c r="F84">
        <v>0.53428040002472699</v>
      </c>
      <c r="G84" t="s">
        <v>34</v>
      </c>
      <c r="H84">
        <v>-4</v>
      </c>
      <c r="I84">
        <v>82</v>
      </c>
      <c r="J84">
        <v>0</v>
      </c>
      <c r="K84">
        <v>82</v>
      </c>
      <c r="L84">
        <v>0</v>
      </c>
      <c r="M84">
        <v>134.64203490002501</v>
      </c>
      <c r="P84">
        <v>134.62665370001901</v>
      </c>
      <c r="Q84">
        <v>134.64203490002501</v>
      </c>
      <c r="R84">
        <v>135.64214720006501</v>
      </c>
      <c r="S84">
        <v>135.64214720006501</v>
      </c>
      <c r="T84">
        <v>136.19217809999799</v>
      </c>
      <c r="U84" t="s">
        <v>40</v>
      </c>
      <c r="V84">
        <v>1</v>
      </c>
      <c r="W84">
        <v>0.53428040002472699</v>
      </c>
      <c r="X84" t="s">
        <v>34</v>
      </c>
      <c r="Y84">
        <v>-4</v>
      </c>
      <c r="Z84" t="s">
        <v>35</v>
      </c>
      <c r="AA84">
        <v>1</v>
      </c>
      <c r="AB84" t="s">
        <v>36</v>
      </c>
      <c r="AC84" t="s">
        <v>37</v>
      </c>
      <c r="AE84" t="s">
        <v>38</v>
      </c>
      <c r="AF84">
        <v>59.972964177374401</v>
      </c>
      <c r="AG84" t="s">
        <v>39</v>
      </c>
    </row>
    <row r="85" spans="1:33" x14ac:dyDescent="0.3">
      <c r="A85">
        <v>83</v>
      </c>
      <c r="B85">
        <v>0</v>
      </c>
      <c r="C85">
        <v>83</v>
      </c>
      <c r="D85" t="s">
        <v>33</v>
      </c>
      <c r="E85">
        <v>1</v>
      </c>
      <c r="F85">
        <v>0.51719799998681903</v>
      </c>
      <c r="G85" t="s">
        <v>34</v>
      </c>
      <c r="H85">
        <v>0</v>
      </c>
      <c r="I85">
        <v>83</v>
      </c>
      <c r="J85">
        <v>0</v>
      </c>
      <c r="K85">
        <v>83</v>
      </c>
      <c r="L85">
        <v>0</v>
      </c>
      <c r="M85">
        <v>136.20849600003501</v>
      </c>
      <c r="P85">
        <v>136.192307900055</v>
      </c>
      <c r="Q85">
        <v>136.20849600003501</v>
      </c>
      <c r="R85">
        <v>137.20839080004899</v>
      </c>
      <c r="S85">
        <v>137.191868199966</v>
      </c>
      <c r="T85">
        <v>137.70937330007999</v>
      </c>
      <c r="U85" t="s">
        <v>33</v>
      </c>
      <c r="V85">
        <v>1</v>
      </c>
      <c r="W85">
        <v>0.51719799998681903</v>
      </c>
      <c r="X85" t="s">
        <v>34</v>
      </c>
      <c r="Y85">
        <v>0</v>
      </c>
      <c r="Z85" t="s">
        <v>35</v>
      </c>
      <c r="AA85">
        <v>1</v>
      </c>
      <c r="AB85" t="s">
        <v>36</v>
      </c>
      <c r="AC85" t="s">
        <v>37</v>
      </c>
      <c r="AE85" t="s">
        <v>38</v>
      </c>
      <c r="AF85">
        <v>59.972964177374401</v>
      </c>
      <c r="AG85" t="s">
        <v>39</v>
      </c>
    </row>
    <row r="86" spans="1:33" x14ac:dyDescent="0.3">
      <c r="A86">
        <v>84</v>
      </c>
      <c r="B86">
        <v>0</v>
      </c>
      <c r="C86">
        <v>84</v>
      </c>
      <c r="D86" t="s">
        <v>40</v>
      </c>
      <c r="E86">
        <v>1</v>
      </c>
      <c r="F86">
        <v>0.57429030002094805</v>
      </c>
      <c r="G86" t="s">
        <v>34</v>
      </c>
      <c r="H86">
        <v>-2</v>
      </c>
      <c r="I86">
        <v>84</v>
      </c>
      <c r="J86">
        <v>0</v>
      </c>
      <c r="K86">
        <v>84</v>
      </c>
      <c r="L86">
        <v>0</v>
      </c>
      <c r="M86">
        <v>137.72536929999399</v>
      </c>
      <c r="P86">
        <v>137.70952210004901</v>
      </c>
      <c r="Q86">
        <v>137.72536929999399</v>
      </c>
      <c r="R86">
        <v>138.725096500013</v>
      </c>
      <c r="S86">
        <v>138.70876309997399</v>
      </c>
      <c r="T86">
        <v>139.29292520007499</v>
      </c>
      <c r="U86" t="s">
        <v>40</v>
      </c>
      <c r="V86">
        <v>1</v>
      </c>
      <c r="W86">
        <v>0.57429030002094805</v>
      </c>
      <c r="X86" t="s">
        <v>34</v>
      </c>
      <c r="Y86">
        <v>-2</v>
      </c>
      <c r="Z86" t="s">
        <v>35</v>
      </c>
      <c r="AA86">
        <v>1</v>
      </c>
      <c r="AB86" t="s">
        <v>36</v>
      </c>
      <c r="AC86" t="s">
        <v>37</v>
      </c>
      <c r="AE86" t="s">
        <v>38</v>
      </c>
      <c r="AF86">
        <v>59.972964177374401</v>
      </c>
      <c r="AG86" t="s">
        <v>39</v>
      </c>
    </row>
    <row r="87" spans="1:33" x14ac:dyDescent="0.3">
      <c r="A87">
        <v>85</v>
      </c>
      <c r="B87">
        <v>0</v>
      </c>
      <c r="C87">
        <v>85</v>
      </c>
      <c r="D87" t="s">
        <v>33</v>
      </c>
      <c r="E87">
        <v>0</v>
      </c>
      <c r="F87">
        <v>0.47618160001002202</v>
      </c>
      <c r="G87" t="s">
        <v>34</v>
      </c>
      <c r="H87">
        <v>4</v>
      </c>
      <c r="I87">
        <v>85</v>
      </c>
      <c r="J87">
        <v>0</v>
      </c>
      <c r="K87">
        <v>85</v>
      </c>
      <c r="L87">
        <v>0</v>
      </c>
      <c r="M87">
        <v>139.30828260001701</v>
      </c>
      <c r="P87">
        <v>139.29307870008</v>
      </c>
      <c r="Q87">
        <v>139.30828260001701</v>
      </c>
      <c r="R87">
        <v>140.30878880002999</v>
      </c>
      <c r="S87">
        <v>140.29208939999799</v>
      </c>
      <c r="T87">
        <v>140.77568129997201</v>
      </c>
      <c r="U87" t="s">
        <v>33</v>
      </c>
      <c r="V87">
        <v>0</v>
      </c>
      <c r="W87">
        <v>0.47618160001002202</v>
      </c>
      <c r="X87" t="s">
        <v>34</v>
      </c>
      <c r="Y87">
        <v>4</v>
      </c>
      <c r="Z87" t="s">
        <v>35</v>
      </c>
      <c r="AA87">
        <v>1</v>
      </c>
      <c r="AB87" t="s">
        <v>36</v>
      </c>
      <c r="AC87" t="s">
        <v>37</v>
      </c>
      <c r="AE87" t="s">
        <v>38</v>
      </c>
      <c r="AF87">
        <v>59.972964177374401</v>
      </c>
      <c r="AG87" t="s">
        <v>39</v>
      </c>
    </row>
    <row r="88" spans="1:33" x14ac:dyDescent="0.3">
      <c r="A88">
        <v>86</v>
      </c>
      <c r="B88">
        <v>0</v>
      </c>
      <c r="C88">
        <v>86</v>
      </c>
      <c r="D88" t="s">
        <v>40</v>
      </c>
      <c r="E88">
        <v>1</v>
      </c>
      <c r="F88">
        <v>0.62755279999691904</v>
      </c>
      <c r="G88" t="s">
        <v>34</v>
      </c>
      <c r="H88">
        <v>4</v>
      </c>
      <c r="I88">
        <v>86</v>
      </c>
      <c r="J88">
        <v>0</v>
      </c>
      <c r="K88">
        <v>86</v>
      </c>
      <c r="L88">
        <v>0</v>
      </c>
      <c r="M88">
        <v>140.79195119999301</v>
      </c>
      <c r="P88">
        <v>140.775832300074</v>
      </c>
      <c r="Q88">
        <v>140.79195119999301</v>
      </c>
      <c r="R88">
        <v>141.791899200063</v>
      </c>
      <c r="S88">
        <v>141.77531070006</v>
      </c>
      <c r="T88">
        <v>142.40858200006099</v>
      </c>
      <c r="U88" t="s">
        <v>40</v>
      </c>
      <c r="V88">
        <v>1</v>
      </c>
      <c r="W88">
        <v>0.62755279999691904</v>
      </c>
      <c r="X88" t="s">
        <v>34</v>
      </c>
      <c r="Y88">
        <v>4</v>
      </c>
      <c r="Z88" t="s">
        <v>35</v>
      </c>
      <c r="AA88">
        <v>1</v>
      </c>
      <c r="AB88" t="s">
        <v>36</v>
      </c>
      <c r="AC88" t="s">
        <v>37</v>
      </c>
      <c r="AE88" t="s">
        <v>38</v>
      </c>
      <c r="AF88">
        <v>59.972964177374401</v>
      </c>
      <c r="AG88" t="s">
        <v>39</v>
      </c>
    </row>
    <row r="89" spans="1:33" x14ac:dyDescent="0.3">
      <c r="A89">
        <v>87</v>
      </c>
      <c r="B89">
        <v>0</v>
      </c>
      <c r="C89">
        <v>87</v>
      </c>
      <c r="D89" t="s">
        <v>33</v>
      </c>
      <c r="E89">
        <v>1</v>
      </c>
      <c r="F89">
        <v>0.70148639997933004</v>
      </c>
      <c r="G89" t="s">
        <v>34</v>
      </c>
      <c r="H89">
        <v>0</v>
      </c>
      <c r="I89">
        <v>87</v>
      </c>
      <c r="J89">
        <v>0</v>
      </c>
      <c r="K89">
        <v>87</v>
      </c>
      <c r="L89">
        <v>0</v>
      </c>
      <c r="M89">
        <v>142.42528900003501</v>
      </c>
      <c r="P89">
        <v>142.40871720004299</v>
      </c>
      <c r="Q89">
        <v>142.42528900003501</v>
      </c>
      <c r="R89">
        <v>143.42509450006699</v>
      </c>
      <c r="S89">
        <v>143.40845210000401</v>
      </c>
      <c r="T89">
        <v>144.11048420006401</v>
      </c>
      <c r="U89" t="s">
        <v>33</v>
      </c>
      <c r="V89">
        <v>1</v>
      </c>
      <c r="W89">
        <v>0.70148639997933004</v>
      </c>
      <c r="X89" t="s">
        <v>34</v>
      </c>
      <c r="Y89">
        <v>0</v>
      </c>
      <c r="Z89" t="s">
        <v>35</v>
      </c>
      <c r="AA89">
        <v>1</v>
      </c>
      <c r="AB89" t="s">
        <v>36</v>
      </c>
      <c r="AC89" t="s">
        <v>37</v>
      </c>
      <c r="AE89" t="s">
        <v>38</v>
      </c>
      <c r="AF89">
        <v>59.972964177374401</v>
      </c>
      <c r="AG89" t="s">
        <v>39</v>
      </c>
    </row>
    <row r="90" spans="1:33" x14ac:dyDescent="0.3">
      <c r="A90">
        <v>88</v>
      </c>
      <c r="B90">
        <v>0</v>
      </c>
      <c r="C90">
        <v>88</v>
      </c>
      <c r="D90" t="s">
        <v>33</v>
      </c>
      <c r="E90">
        <v>1</v>
      </c>
      <c r="F90">
        <v>0.59359379997476902</v>
      </c>
      <c r="G90" t="s">
        <v>34</v>
      </c>
      <c r="H90">
        <v>0</v>
      </c>
      <c r="I90">
        <v>88</v>
      </c>
      <c r="J90">
        <v>0</v>
      </c>
      <c r="K90">
        <v>88</v>
      </c>
      <c r="L90">
        <v>0</v>
      </c>
      <c r="M90">
        <v>144.12508909997899</v>
      </c>
      <c r="P90">
        <v>144.11067169997801</v>
      </c>
      <c r="Q90">
        <v>144.12508909997899</v>
      </c>
      <c r="R90">
        <v>145.12504080007699</v>
      </c>
      <c r="S90">
        <v>145.10867680003801</v>
      </c>
      <c r="T90">
        <v>145.71037710004001</v>
      </c>
      <c r="U90" t="s">
        <v>33</v>
      </c>
      <c r="V90">
        <v>1</v>
      </c>
      <c r="W90">
        <v>0.59359379997476902</v>
      </c>
      <c r="X90" t="s">
        <v>34</v>
      </c>
      <c r="Y90">
        <v>0</v>
      </c>
      <c r="Z90" t="s">
        <v>35</v>
      </c>
      <c r="AA90">
        <v>1</v>
      </c>
      <c r="AB90" t="s">
        <v>36</v>
      </c>
      <c r="AC90" t="s">
        <v>37</v>
      </c>
      <c r="AE90" t="s">
        <v>38</v>
      </c>
      <c r="AF90">
        <v>59.972964177374401</v>
      </c>
      <c r="AG90" t="s">
        <v>39</v>
      </c>
    </row>
    <row r="91" spans="1:33" x14ac:dyDescent="0.3">
      <c r="A91">
        <v>89</v>
      </c>
      <c r="B91">
        <v>0</v>
      </c>
      <c r="C91">
        <v>89</v>
      </c>
      <c r="D91" t="s">
        <v>33</v>
      </c>
      <c r="E91">
        <v>1</v>
      </c>
      <c r="F91">
        <v>0.41130100004374898</v>
      </c>
      <c r="G91" t="s">
        <v>34</v>
      </c>
      <c r="H91">
        <v>0</v>
      </c>
      <c r="I91">
        <v>89</v>
      </c>
      <c r="J91">
        <v>0</v>
      </c>
      <c r="K91">
        <v>89</v>
      </c>
      <c r="L91">
        <v>0</v>
      </c>
      <c r="M91">
        <v>145.724942</v>
      </c>
      <c r="P91">
        <v>145.710513800033</v>
      </c>
      <c r="Q91">
        <v>145.724942</v>
      </c>
      <c r="R91">
        <v>146.72475960000801</v>
      </c>
      <c r="S91">
        <v>146.72475960000801</v>
      </c>
      <c r="T91">
        <v>147.141291500069</v>
      </c>
      <c r="U91" t="s">
        <v>33</v>
      </c>
      <c r="V91">
        <v>1</v>
      </c>
      <c r="W91">
        <v>0.41130100004374898</v>
      </c>
      <c r="X91" t="s">
        <v>34</v>
      </c>
      <c r="Y91">
        <v>0</v>
      </c>
      <c r="Z91" t="s">
        <v>35</v>
      </c>
      <c r="AA91">
        <v>1</v>
      </c>
      <c r="AB91" t="s">
        <v>36</v>
      </c>
      <c r="AC91" t="s">
        <v>37</v>
      </c>
      <c r="AE91" t="s">
        <v>38</v>
      </c>
      <c r="AF91">
        <v>59.972964177374401</v>
      </c>
      <c r="AG91" t="s">
        <v>39</v>
      </c>
    </row>
    <row r="92" spans="1:33" x14ac:dyDescent="0.3">
      <c r="A92">
        <v>90</v>
      </c>
      <c r="B92">
        <v>0</v>
      </c>
      <c r="C92">
        <v>90</v>
      </c>
      <c r="D92" t="s">
        <v>33</v>
      </c>
      <c r="E92">
        <v>1</v>
      </c>
      <c r="F92">
        <v>0.43200780008919498</v>
      </c>
      <c r="G92" t="s">
        <v>34</v>
      </c>
      <c r="H92">
        <v>0</v>
      </c>
      <c r="I92">
        <v>90</v>
      </c>
      <c r="J92">
        <v>0</v>
      </c>
      <c r="K92">
        <v>90</v>
      </c>
      <c r="L92">
        <v>0</v>
      </c>
      <c r="M92">
        <v>147.15781290002599</v>
      </c>
      <c r="P92">
        <v>147.14141380006899</v>
      </c>
      <c r="Q92">
        <v>147.15781290002599</v>
      </c>
      <c r="R92">
        <v>148.15836750005801</v>
      </c>
      <c r="S92">
        <v>148.14164030004699</v>
      </c>
      <c r="T92">
        <v>148.575326699996</v>
      </c>
      <c r="U92" t="s">
        <v>33</v>
      </c>
      <c r="V92">
        <v>1</v>
      </c>
      <c r="W92">
        <v>0.43200780008919498</v>
      </c>
      <c r="X92" t="s">
        <v>34</v>
      </c>
      <c r="Y92">
        <v>0</v>
      </c>
      <c r="Z92" t="s">
        <v>35</v>
      </c>
      <c r="AA92">
        <v>1</v>
      </c>
      <c r="AB92" t="s">
        <v>36</v>
      </c>
      <c r="AC92" t="s">
        <v>37</v>
      </c>
      <c r="AE92" t="s">
        <v>38</v>
      </c>
      <c r="AF92">
        <v>59.972964177374401</v>
      </c>
      <c r="AG92" t="s">
        <v>39</v>
      </c>
    </row>
    <row r="93" spans="1:33" x14ac:dyDescent="0.3">
      <c r="A93">
        <v>91</v>
      </c>
      <c r="B93">
        <v>0</v>
      </c>
      <c r="C93">
        <v>91</v>
      </c>
      <c r="D93" t="s">
        <v>33</v>
      </c>
      <c r="E93">
        <v>1</v>
      </c>
      <c r="F93">
        <v>0.43166340002789999</v>
      </c>
      <c r="G93" t="s">
        <v>34</v>
      </c>
      <c r="H93">
        <v>0</v>
      </c>
      <c r="I93">
        <v>91</v>
      </c>
      <c r="J93">
        <v>0</v>
      </c>
      <c r="K93">
        <v>91</v>
      </c>
      <c r="L93">
        <v>0</v>
      </c>
      <c r="M93">
        <v>148.59149240003899</v>
      </c>
      <c r="P93">
        <v>148.575464199995</v>
      </c>
      <c r="Q93">
        <v>148.59149240003899</v>
      </c>
      <c r="R93">
        <v>149.591193999978</v>
      </c>
      <c r="S93">
        <v>149.57506140007101</v>
      </c>
      <c r="T93">
        <v>150.007935500005</v>
      </c>
      <c r="U93" t="s">
        <v>33</v>
      </c>
      <c r="V93">
        <v>1</v>
      </c>
      <c r="W93">
        <v>0.43166340002789999</v>
      </c>
      <c r="X93" t="s">
        <v>34</v>
      </c>
      <c r="Y93">
        <v>0</v>
      </c>
      <c r="Z93" t="s">
        <v>35</v>
      </c>
      <c r="AA93">
        <v>1</v>
      </c>
      <c r="AB93" t="s">
        <v>36</v>
      </c>
      <c r="AC93" t="s">
        <v>37</v>
      </c>
      <c r="AE93" t="s">
        <v>38</v>
      </c>
      <c r="AF93">
        <v>59.972964177374401</v>
      </c>
      <c r="AG93" t="s">
        <v>39</v>
      </c>
    </row>
    <row r="94" spans="1:33" x14ac:dyDescent="0.3">
      <c r="A94">
        <v>92</v>
      </c>
      <c r="B94">
        <v>0</v>
      </c>
      <c r="C94">
        <v>92</v>
      </c>
      <c r="D94" t="s">
        <v>40</v>
      </c>
      <c r="E94">
        <v>1</v>
      </c>
      <c r="F94">
        <v>0.91446669993456398</v>
      </c>
      <c r="G94" t="s">
        <v>34</v>
      </c>
      <c r="H94">
        <v>-3</v>
      </c>
      <c r="I94">
        <v>92</v>
      </c>
      <c r="J94">
        <v>0</v>
      </c>
      <c r="K94">
        <v>92</v>
      </c>
      <c r="L94">
        <v>0</v>
      </c>
      <c r="M94">
        <v>150.025156200048</v>
      </c>
      <c r="P94">
        <v>150.008095500059</v>
      </c>
      <c r="Q94">
        <v>150.025156200048</v>
      </c>
      <c r="R94">
        <v>151.02497290004899</v>
      </c>
      <c r="S94">
        <v>151.00835020001901</v>
      </c>
      <c r="T94">
        <v>151.924869499984</v>
      </c>
      <c r="U94" t="s">
        <v>40</v>
      </c>
      <c r="V94">
        <v>1</v>
      </c>
      <c r="W94">
        <v>0.91446669993456398</v>
      </c>
      <c r="X94" t="s">
        <v>34</v>
      </c>
      <c r="Y94">
        <v>-3</v>
      </c>
      <c r="Z94" t="s">
        <v>35</v>
      </c>
      <c r="AA94">
        <v>1</v>
      </c>
      <c r="AB94" t="s">
        <v>36</v>
      </c>
      <c r="AC94" t="s">
        <v>37</v>
      </c>
      <c r="AE94" t="s">
        <v>38</v>
      </c>
      <c r="AF94">
        <v>59.972964177374401</v>
      </c>
      <c r="AG94" t="s">
        <v>39</v>
      </c>
    </row>
    <row r="95" spans="1:33" x14ac:dyDescent="0.3">
      <c r="A95">
        <v>93</v>
      </c>
      <c r="B95">
        <v>0</v>
      </c>
      <c r="C95">
        <v>93</v>
      </c>
      <c r="D95" t="s">
        <v>40</v>
      </c>
      <c r="E95">
        <v>1</v>
      </c>
      <c r="F95">
        <v>0.45062640006653898</v>
      </c>
      <c r="G95" t="s">
        <v>34</v>
      </c>
      <c r="H95">
        <v>-5</v>
      </c>
      <c r="I95">
        <v>93</v>
      </c>
      <c r="J95">
        <v>0</v>
      </c>
      <c r="K95">
        <v>93</v>
      </c>
      <c r="L95">
        <v>0</v>
      </c>
      <c r="M95">
        <v>151.941578999976</v>
      </c>
      <c r="P95">
        <v>151.92507430002999</v>
      </c>
      <c r="Q95">
        <v>151.941578999976</v>
      </c>
      <c r="R95">
        <v>152.94137540005599</v>
      </c>
      <c r="S95">
        <v>152.92453600000499</v>
      </c>
      <c r="T95">
        <v>153.37544630002199</v>
      </c>
      <c r="U95" t="s">
        <v>40</v>
      </c>
      <c r="V95">
        <v>1</v>
      </c>
      <c r="W95">
        <v>0.45062640006653898</v>
      </c>
      <c r="X95" t="s">
        <v>34</v>
      </c>
      <c r="Y95">
        <v>-5</v>
      </c>
      <c r="Z95" t="s">
        <v>35</v>
      </c>
      <c r="AA95">
        <v>1</v>
      </c>
      <c r="AB95" t="s">
        <v>36</v>
      </c>
      <c r="AC95" t="s">
        <v>37</v>
      </c>
      <c r="AE95" t="s">
        <v>38</v>
      </c>
      <c r="AF95">
        <v>59.972964177374401</v>
      </c>
      <c r="AG95" t="s">
        <v>39</v>
      </c>
    </row>
    <row r="96" spans="1:33" x14ac:dyDescent="0.3">
      <c r="A96">
        <v>94</v>
      </c>
      <c r="B96">
        <v>0</v>
      </c>
      <c r="C96">
        <v>94</v>
      </c>
      <c r="D96" t="s">
        <v>33</v>
      </c>
      <c r="E96">
        <v>1</v>
      </c>
      <c r="F96">
        <v>0.67912730004172694</v>
      </c>
      <c r="G96" t="s">
        <v>34</v>
      </c>
      <c r="H96">
        <v>0</v>
      </c>
      <c r="I96">
        <v>94</v>
      </c>
      <c r="J96">
        <v>0</v>
      </c>
      <c r="K96">
        <v>94</v>
      </c>
      <c r="L96">
        <v>0</v>
      </c>
      <c r="M96">
        <v>153.39135789999199</v>
      </c>
      <c r="P96">
        <v>153.37557230005001</v>
      </c>
      <c r="Q96">
        <v>153.39135789999199</v>
      </c>
      <c r="R96">
        <v>154.39164709998201</v>
      </c>
      <c r="S96">
        <v>154.37517320003801</v>
      </c>
      <c r="T96">
        <v>155.058492999989</v>
      </c>
      <c r="U96" t="s">
        <v>33</v>
      </c>
      <c r="V96">
        <v>1</v>
      </c>
      <c r="W96">
        <v>0.67912730004172694</v>
      </c>
      <c r="X96" t="s">
        <v>34</v>
      </c>
      <c r="Y96">
        <v>0</v>
      </c>
      <c r="Z96" t="s">
        <v>35</v>
      </c>
      <c r="AA96">
        <v>1</v>
      </c>
      <c r="AB96" t="s">
        <v>36</v>
      </c>
      <c r="AC96" t="s">
        <v>37</v>
      </c>
      <c r="AE96" t="s">
        <v>38</v>
      </c>
      <c r="AF96">
        <v>59.972964177374401</v>
      </c>
      <c r="AG96" t="s">
        <v>39</v>
      </c>
    </row>
    <row r="97" spans="1:33" x14ac:dyDescent="0.3">
      <c r="A97">
        <v>95</v>
      </c>
      <c r="B97">
        <v>0</v>
      </c>
      <c r="C97">
        <v>95</v>
      </c>
      <c r="D97" t="s">
        <v>40</v>
      </c>
      <c r="E97">
        <v>1</v>
      </c>
      <c r="F97">
        <v>1.0384330999804601</v>
      </c>
      <c r="G97" t="s">
        <v>34</v>
      </c>
      <c r="H97">
        <v>2</v>
      </c>
      <c r="I97">
        <v>95</v>
      </c>
      <c r="J97">
        <v>0</v>
      </c>
      <c r="K97">
        <v>95</v>
      </c>
      <c r="L97">
        <v>0</v>
      </c>
      <c r="M97">
        <v>155.07498600007901</v>
      </c>
      <c r="P97">
        <v>155.05864270008101</v>
      </c>
      <c r="Q97">
        <v>155.07498600007901</v>
      </c>
      <c r="R97">
        <v>156.075143599999</v>
      </c>
      <c r="S97">
        <v>156.05847960000301</v>
      </c>
      <c r="T97">
        <v>157.109165300033</v>
      </c>
      <c r="U97" t="s">
        <v>40</v>
      </c>
      <c r="V97">
        <v>1</v>
      </c>
      <c r="W97">
        <v>1.0384330999804601</v>
      </c>
      <c r="X97" t="s">
        <v>34</v>
      </c>
      <c r="Y97">
        <v>2</v>
      </c>
      <c r="Z97" t="s">
        <v>35</v>
      </c>
      <c r="AA97">
        <v>1</v>
      </c>
      <c r="AB97" t="s">
        <v>36</v>
      </c>
      <c r="AC97" t="s">
        <v>37</v>
      </c>
      <c r="AE97" t="s">
        <v>38</v>
      </c>
      <c r="AF97">
        <v>59.972964177374401</v>
      </c>
      <c r="AG97" t="s">
        <v>39</v>
      </c>
    </row>
    <row r="98" spans="1:33" x14ac:dyDescent="0.3">
      <c r="A98">
        <v>96</v>
      </c>
      <c r="B98">
        <v>0</v>
      </c>
      <c r="C98">
        <v>96</v>
      </c>
      <c r="D98" t="s">
        <v>33</v>
      </c>
      <c r="E98">
        <v>1</v>
      </c>
      <c r="F98">
        <v>0.52899749996140599</v>
      </c>
      <c r="G98" t="s">
        <v>34</v>
      </c>
      <c r="H98">
        <v>0</v>
      </c>
      <c r="I98">
        <v>96</v>
      </c>
      <c r="J98">
        <v>0</v>
      </c>
      <c r="K98">
        <v>96</v>
      </c>
      <c r="L98">
        <v>0</v>
      </c>
      <c r="M98">
        <v>157.12496050004799</v>
      </c>
      <c r="P98">
        <v>157.10929729999</v>
      </c>
      <c r="Q98">
        <v>157.12496050004799</v>
      </c>
      <c r="R98">
        <v>158.124271800043</v>
      </c>
      <c r="S98">
        <v>158.124271800043</v>
      </c>
      <c r="T98">
        <v>158.658405199996</v>
      </c>
      <c r="U98" t="s">
        <v>33</v>
      </c>
      <c r="V98">
        <v>1</v>
      </c>
      <c r="W98">
        <v>0.52899749996140599</v>
      </c>
      <c r="X98" t="s">
        <v>34</v>
      </c>
      <c r="Y98">
        <v>0</v>
      </c>
      <c r="Z98" t="s">
        <v>35</v>
      </c>
      <c r="AA98">
        <v>1</v>
      </c>
      <c r="AB98" t="s">
        <v>36</v>
      </c>
      <c r="AC98" t="s">
        <v>37</v>
      </c>
      <c r="AE98" t="s">
        <v>38</v>
      </c>
      <c r="AF98">
        <v>59.972964177374401</v>
      </c>
      <c r="AG98" t="s">
        <v>39</v>
      </c>
    </row>
    <row r="99" spans="1:33" x14ac:dyDescent="0.3">
      <c r="A99">
        <v>97</v>
      </c>
      <c r="B99">
        <v>0</v>
      </c>
      <c r="C99">
        <v>97</v>
      </c>
      <c r="D99" t="s">
        <v>33</v>
      </c>
      <c r="E99">
        <v>1</v>
      </c>
      <c r="F99">
        <v>0.66330509993713305</v>
      </c>
      <c r="G99" t="s">
        <v>34</v>
      </c>
      <c r="H99">
        <v>0</v>
      </c>
      <c r="I99">
        <v>97</v>
      </c>
      <c r="J99">
        <v>0</v>
      </c>
      <c r="K99">
        <v>97</v>
      </c>
      <c r="L99">
        <v>0</v>
      </c>
      <c r="M99">
        <v>158.67407190008001</v>
      </c>
      <c r="P99">
        <v>158.658537900075</v>
      </c>
      <c r="Q99">
        <v>158.67407190008001</v>
      </c>
      <c r="R99">
        <v>159.674805300077</v>
      </c>
      <c r="S99">
        <v>159.65763849997799</v>
      </c>
      <c r="T99">
        <v>160.325041900039</v>
      </c>
      <c r="U99" t="s">
        <v>33</v>
      </c>
      <c r="V99">
        <v>1</v>
      </c>
      <c r="W99">
        <v>0.66330509993713305</v>
      </c>
      <c r="X99" t="s">
        <v>34</v>
      </c>
      <c r="Y99">
        <v>0</v>
      </c>
      <c r="Z99" t="s">
        <v>35</v>
      </c>
      <c r="AA99">
        <v>1</v>
      </c>
      <c r="AB99" t="s">
        <v>36</v>
      </c>
      <c r="AC99" t="s">
        <v>37</v>
      </c>
      <c r="AE99" t="s">
        <v>38</v>
      </c>
      <c r="AF99">
        <v>59.972964177374401</v>
      </c>
      <c r="AG99" t="s">
        <v>39</v>
      </c>
    </row>
    <row r="100" spans="1:33" x14ac:dyDescent="0.3">
      <c r="A100">
        <v>98</v>
      </c>
      <c r="B100">
        <v>0</v>
      </c>
      <c r="C100">
        <v>98</v>
      </c>
      <c r="D100" t="s">
        <v>33</v>
      </c>
      <c r="E100">
        <v>1</v>
      </c>
      <c r="F100">
        <v>0.50751659995876197</v>
      </c>
      <c r="G100" t="s">
        <v>34</v>
      </c>
      <c r="H100">
        <v>0</v>
      </c>
      <c r="I100">
        <v>98</v>
      </c>
      <c r="J100">
        <v>0</v>
      </c>
      <c r="K100">
        <v>98</v>
      </c>
      <c r="L100">
        <v>0</v>
      </c>
      <c r="M100">
        <v>160.34157320007199</v>
      </c>
      <c r="P100">
        <v>160.32517199998199</v>
      </c>
      <c r="Q100">
        <v>160.34157320007199</v>
      </c>
      <c r="R100">
        <v>161.34128940000599</v>
      </c>
      <c r="S100">
        <v>161.32510869996599</v>
      </c>
      <c r="T100">
        <v>161.841350300004</v>
      </c>
      <c r="U100" t="s">
        <v>33</v>
      </c>
      <c r="V100">
        <v>1</v>
      </c>
      <c r="W100">
        <v>0.50751659995876197</v>
      </c>
      <c r="X100" t="s">
        <v>34</v>
      </c>
      <c r="Y100">
        <v>0</v>
      </c>
      <c r="Z100" t="s">
        <v>35</v>
      </c>
      <c r="AA100">
        <v>1</v>
      </c>
      <c r="AB100" t="s">
        <v>36</v>
      </c>
      <c r="AC100" t="s">
        <v>37</v>
      </c>
      <c r="AE100" t="s">
        <v>38</v>
      </c>
      <c r="AF100">
        <v>59.972964177374401</v>
      </c>
      <c r="AG100" t="s">
        <v>39</v>
      </c>
    </row>
    <row r="101" spans="1:33" x14ac:dyDescent="0.3">
      <c r="A101">
        <v>99</v>
      </c>
      <c r="B101">
        <v>0</v>
      </c>
      <c r="C101">
        <v>99</v>
      </c>
      <c r="D101" t="s">
        <v>33</v>
      </c>
      <c r="E101">
        <v>1</v>
      </c>
      <c r="F101">
        <v>0.46102110005449498</v>
      </c>
      <c r="G101" t="s">
        <v>34</v>
      </c>
      <c r="H101">
        <v>0</v>
      </c>
      <c r="I101">
        <v>99</v>
      </c>
      <c r="J101">
        <v>0</v>
      </c>
      <c r="K101">
        <v>99</v>
      </c>
      <c r="L101">
        <v>0</v>
      </c>
      <c r="M101">
        <v>161.85757550003399</v>
      </c>
      <c r="P101">
        <v>161.84147830004801</v>
      </c>
      <c r="Q101">
        <v>161.85757550003399</v>
      </c>
      <c r="R101">
        <v>162.85840240004401</v>
      </c>
      <c r="S101">
        <v>162.84164900006701</v>
      </c>
      <c r="T101">
        <v>163.30818469997001</v>
      </c>
      <c r="U101" t="s">
        <v>33</v>
      </c>
      <c r="V101">
        <v>1</v>
      </c>
      <c r="W101">
        <v>0.46102110005449498</v>
      </c>
      <c r="X101" t="s">
        <v>34</v>
      </c>
      <c r="Y101">
        <v>0</v>
      </c>
      <c r="Z101" t="s">
        <v>35</v>
      </c>
      <c r="AA101">
        <v>1</v>
      </c>
      <c r="AB101" t="s">
        <v>36</v>
      </c>
      <c r="AC101" t="s">
        <v>37</v>
      </c>
      <c r="AE101" t="s">
        <v>38</v>
      </c>
      <c r="AF101">
        <v>59.972964177374401</v>
      </c>
      <c r="AG101" t="s">
        <v>39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1F18-743B-4815-B851-7D5D10CDEC57}">
  <dimension ref="A1:O101"/>
  <sheetViews>
    <sheetView tabSelected="1" topLeftCell="B1" workbookViewId="0">
      <selection activeCell="O5" sqref="O5"/>
    </sheetView>
  </sheetViews>
  <sheetFormatPr defaultRowHeight="14.4" x14ac:dyDescent="0.3"/>
  <cols>
    <col min="1" max="1" width="21.44140625" customWidth="1"/>
    <col min="2" max="2" width="17.44140625" customWidth="1"/>
    <col min="4" max="4" width="18.77734375" customWidth="1"/>
    <col min="10" max="10" width="12.88671875" customWidth="1"/>
    <col min="11" max="11" width="13.44140625" customWidth="1"/>
    <col min="12" max="12" width="15.44140625" customWidth="1"/>
    <col min="14" max="14" width="31" customWidth="1"/>
    <col min="15" max="15" width="12.77734375" customWidth="1"/>
  </cols>
  <sheetData>
    <row r="1" spans="1:15" x14ac:dyDescent="0.3">
      <c r="A1" t="s">
        <v>3</v>
      </c>
      <c r="B1" t="s">
        <v>4</v>
      </c>
      <c r="C1" t="s">
        <v>7</v>
      </c>
      <c r="D1" t="s">
        <v>41</v>
      </c>
      <c r="E1" t="s">
        <v>42</v>
      </c>
      <c r="F1" t="s">
        <v>43</v>
      </c>
      <c r="G1" t="s">
        <v>44</v>
      </c>
    </row>
    <row r="2" spans="1:15" x14ac:dyDescent="0.3">
      <c r="A2" t="s">
        <v>33</v>
      </c>
      <c r="B2">
        <v>0</v>
      </c>
      <c r="C2">
        <v>-2</v>
      </c>
      <c r="E2">
        <v>1</v>
      </c>
      <c r="K2" s="1" t="s">
        <v>48</v>
      </c>
      <c r="L2" s="1" t="s">
        <v>49</v>
      </c>
      <c r="N2" s="1" t="s">
        <v>56</v>
      </c>
      <c r="O2">
        <f>(K7)/(K7+L7)</f>
        <v>0.75</v>
      </c>
    </row>
    <row r="3" spans="1:15" x14ac:dyDescent="0.3">
      <c r="A3" t="s">
        <v>40</v>
      </c>
      <c r="B3">
        <v>1</v>
      </c>
      <c r="C3">
        <v>2</v>
      </c>
      <c r="D3">
        <v>1</v>
      </c>
      <c r="J3" s="1" t="s">
        <v>46</v>
      </c>
      <c r="K3" t="s">
        <v>50</v>
      </c>
      <c r="L3" t="s">
        <v>51</v>
      </c>
      <c r="N3" s="1" t="s">
        <v>45</v>
      </c>
      <c r="O3">
        <f>(K8)/(K8+L8)</f>
        <v>8.9285714285714288E-2</v>
      </c>
    </row>
    <row r="4" spans="1:15" x14ac:dyDescent="0.3">
      <c r="A4" t="s">
        <v>33</v>
      </c>
      <c r="B4">
        <v>1</v>
      </c>
      <c r="C4">
        <v>0</v>
      </c>
      <c r="G4">
        <v>1</v>
      </c>
      <c r="J4" s="1" t="s">
        <v>47</v>
      </c>
      <c r="K4" t="s">
        <v>52</v>
      </c>
      <c r="L4" t="s">
        <v>53</v>
      </c>
      <c r="N4" s="1" t="s">
        <v>54</v>
      </c>
      <c r="O4">
        <f>NORMSINV(O2) -NORMSINV(O3)</f>
        <v>2.0196563843727207</v>
      </c>
    </row>
    <row r="5" spans="1:15" x14ac:dyDescent="0.3">
      <c r="A5" t="s">
        <v>33</v>
      </c>
      <c r="B5">
        <v>0</v>
      </c>
      <c r="C5">
        <v>1</v>
      </c>
      <c r="E5">
        <v>1</v>
      </c>
      <c r="N5" s="1" t="s">
        <v>55</v>
      </c>
      <c r="O5">
        <f>-NORMSINV(O2)+NORMSINV(O3)/2</f>
        <v>-1.3470730672844011</v>
      </c>
    </row>
    <row r="6" spans="1:15" x14ac:dyDescent="0.3">
      <c r="A6" t="s">
        <v>33</v>
      </c>
      <c r="B6">
        <v>1</v>
      </c>
      <c r="C6">
        <v>0</v>
      </c>
      <c r="G6">
        <v>1</v>
      </c>
      <c r="K6" s="1" t="s">
        <v>48</v>
      </c>
      <c r="L6" s="1" t="s">
        <v>49</v>
      </c>
    </row>
    <row r="7" spans="1:15" x14ac:dyDescent="0.3">
      <c r="A7" t="s">
        <v>33</v>
      </c>
      <c r="B7">
        <v>1</v>
      </c>
      <c r="C7">
        <v>0</v>
      </c>
      <c r="G7">
        <v>1</v>
      </c>
      <c r="J7" s="1" t="s">
        <v>46</v>
      </c>
      <c r="K7">
        <v>33</v>
      </c>
      <c r="L7">
        <v>11</v>
      </c>
    </row>
    <row r="8" spans="1:15" x14ac:dyDescent="0.3">
      <c r="A8" t="s">
        <v>33</v>
      </c>
      <c r="B8">
        <v>0</v>
      </c>
      <c r="C8">
        <v>0</v>
      </c>
      <c r="G8">
        <v>1</v>
      </c>
      <c r="J8" s="1" t="s">
        <v>47</v>
      </c>
      <c r="K8">
        <v>5</v>
      </c>
      <c r="L8">
        <v>51</v>
      </c>
    </row>
    <row r="9" spans="1:15" x14ac:dyDescent="0.3">
      <c r="A9" t="s">
        <v>40</v>
      </c>
      <c r="B9">
        <v>0</v>
      </c>
      <c r="C9">
        <v>0</v>
      </c>
      <c r="F9">
        <v>1</v>
      </c>
    </row>
    <row r="10" spans="1:15" x14ac:dyDescent="0.3">
      <c r="A10" t="s">
        <v>40</v>
      </c>
      <c r="B10">
        <v>1</v>
      </c>
      <c r="C10">
        <v>1</v>
      </c>
      <c r="D10">
        <v>1</v>
      </c>
    </row>
    <row r="11" spans="1:15" x14ac:dyDescent="0.3">
      <c r="A11" t="s">
        <v>40</v>
      </c>
      <c r="B11">
        <v>1</v>
      </c>
      <c r="C11">
        <v>-2</v>
      </c>
      <c r="D11">
        <v>1</v>
      </c>
    </row>
    <row r="12" spans="1:15" x14ac:dyDescent="0.3">
      <c r="A12" t="s">
        <v>33</v>
      </c>
      <c r="B12">
        <v>0</v>
      </c>
      <c r="C12">
        <v>2</v>
      </c>
      <c r="E12">
        <v>1</v>
      </c>
    </row>
    <row r="13" spans="1:15" x14ac:dyDescent="0.3">
      <c r="A13" t="s">
        <v>40</v>
      </c>
      <c r="B13">
        <v>1</v>
      </c>
      <c r="C13">
        <v>-1</v>
      </c>
      <c r="D13">
        <v>1</v>
      </c>
    </row>
    <row r="14" spans="1:15" x14ac:dyDescent="0.3">
      <c r="A14" t="s">
        <v>33</v>
      </c>
      <c r="B14">
        <v>1</v>
      </c>
      <c r="C14">
        <v>0</v>
      </c>
      <c r="G14">
        <v>1</v>
      </c>
    </row>
    <row r="15" spans="1:15" x14ac:dyDescent="0.3">
      <c r="A15" t="s">
        <v>40</v>
      </c>
      <c r="B15">
        <v>1</v>
      </c>
      <c r="C15">
        <v>4</v>
      </c>
      <c r="D15">
        <v>1</v>
      </c>
    </row>
    <row r="16" spans="1:15" x14ac:dyDescent="0.3">
      <c r="A16" t="s">
        <v>40</v>
      </c>
      <c r="B16">
        <v>1</v>
      </c>
      <c r="C16">
        <v>-5</v>
      </c>
      <c r="D16">
        <v>1</v>
      </c>
    </row>
    <row r="17" spans="1:7" x14ac:dyDescent="0.3">
      <c r="A17" t="s">
        <v>33</v>
      </c>
      <c r="B17">
        <v>1</v>
      </c>
      <c r="C17">
        <v>0</v>
      </c>
      <c r="G17">
        <v>1</v>
      </c>
    </row>
    <row r="18" spans="1:7" x14ac:dyDescent="0.3">
      <c r="A18" t="s">
        <v>33</v>
      </c>
      <c r="B18">
        <v>0</v>
      </c>
      <c r="C18">
        <v>3</v>
      </c>
      <c r="E18">
        <v>1</v>
      </c>
    </row>
    <row r="19" spans="1:7" x14ac:dyDescent="0.3">
      <c r="A19" t="s">
        <v>40</v>
      </c>
      <c r="B19">
        <v>0</v>
      </c>
      <c r="C19">
        <v>0</v>
      </c>
      <c r="F19">
        <v>1</v>
      </c>
    </row>
    <row r="20" spans="1:7" x14ac:dyDescent="0.3">
      <c r="A20" t="s">
        <v>40</v>
      </c>
      <c r="B20">
        <v>1</v>
      </c>
      <c r="C20">
        <v>-5</v>
      </c>
      <c r="D20">
        <v>1</v>
      </c>
    </row>
    <row r="21" spans="1:7" x14ac:dyDescent="0.3">
      <c r="A21" t="s">
        <v>33</v>
      </c>
      <c r="B21">
        <v>1</v>
      </c>
      <c r="C21">
        <v>0</v>
      </c>
      <c r="G21">
        <v>1</v>
      </c>
    </row>
    <row r="22" spans="1:7" x14ac:dyDescent="0.3">
      <c r="A22" t="s">
        <v>33</v>
      </c>
      <c r="B22">
        <v>1</v>
      </c>
      <c r="C22">
        <v>0</v>
      </c>
      <c r="G22">
        <v>1</v>
      </c>
    </row>
    <row r="23" spans="1:7" x14ac:dyDescent="0.3">
      <c r="A23" t="s">
        <v>40</v>
      </c>
      <c r="B23">
        <v>1</v>
      </c>
      <c r="C23">
        <v>-5</v>
      </c>
      <c r="D23">
        <v>1</v>
      </c>
    </row>
    <row r="24" spans="1:7" x14ac:dyDescent="0.3">
      <c r="A24" t="s">
        <v>33</v>
      </c>
      <c r="B24">
        <v>1</v>
      </c>
      <c r="C24">
        <v>0</v>
      </c>
      <c r="G24">
        <v>1</v>
      </c>
    </row>
    <row r="25" spans="1:7" x14ac:dyDescent="0.3">
      <c r="A25" t="s">
        <v>33</v>
      </c>
      <c r="B25">
        <v>1</v>
      </c>
      <c r="C25">
        <v>0</v>
      </c>
      <c r="G25">
        <v>1</v>
      </c>
    </row>
    <row r="26" spans="1:7" x14ac:dyDescent="0.3">
      <c r="A26" t="s">
        <v>40</v>
      </c>
      <c r="B26">
        <v>1</v>
      </c>
      <c r="C26">
        <v>3</v>
      </c>
      <c r="D26">
        <v>1</v>
      </c>
    </row>
    <row r="27" spans="1:7" x14ac:dyDescent="0.3">
      <c r="A27" t="s">
        <v>40</v>
      </c>
      <c r="B27">
        <v>0</v>
      </c>
      <c r="C27">
        <v>0</v>
      </c>
      <c r="F27">
        <v>1</v>
      </c>
    </row>
    <row r="28" spans="1:7" x14ac:dyDescent="0.3">
      <c r="A28" t="s">
        <v>33</v>
      </c>
      <c r="B28">
        <v>1</v>
      </c>
      <c r="C28">
        <v>0</v>
      </c>
      <c r="G28">
        <v>1</v>
      </c>
    </row>
    <row r="29" spans="1:7" x14ac:dyDescent="0.3">
      <c r="A29" t="s">
        <v>33</v>
      </c>
      <c r="B29">
        <v>1</v>
      </c>
      <c r="C29">
        <v>0</v>
      </c>
      <c r="G29">
        <v>1</v>
      </c>
    </row>
    <row r="30" spans="1:7" x14ac:dyDescent="0.3">
      <c r="A30" t="s">
        <v>33</v>
      </c>
      <c r="B30">
        <v>0</v>
      </c>
      <c r="C30">
        <v>1</v>
      </c>
      <c r="E30">
        <v>1</v>
      </c>
    </row>
    <row r="31" spans="1:7" x14ac:dyDescent="0.3">
      <c r="A31" t="s">
        <v>33</v>
      </c>
      <c r="B31">
        <v>1</v>
      </c>
      <c r="C31">
        <v>0</v>
      </c>
      <c r="G31">
        <v>1</v>
      </c>
    </row>
    <row r="32" spans="1:7" x14ac:dyDescent="0.3">
      <c r="A32" t="s">
        <v>33</v>
      </c>
      <c r="B32">
        <v>1</v>
      </c>
      <c r="C32">
        <v>0</v>
      </c>
      <c r="G32">
        <v>1</v>
      </c>
    </row>
    <row r="33" spans="1:7" x14ac:dyDescent="0.3">
      <c r="A33" t="s">
        <v>33</v>
      </c>
      <c r="B33">
        <v>1</v>
      </c>
      <c r="C33">
        <v>0</v>
      </c>
      <c r="G33">
        <v>1</v>
      </c>
    </row>
    <row r="34" spans="1:7" x14ac:dyDescent="0.3">
      <c r="A34" t="s">
        <v>33</v>
      </c>
      <c r="B34">
        <v>0</v>
      </c>
      <c r="C34">
        <v>3</v>
      </c>
      <c r="E34">
        <v>1</v>
      </c>
    </row>
    <row r="35" spans="1:7" x14ac:dyDescent="0.3">
      <c r="A35" t="s">
        <v>33</v>
      </c>
      <c r="B35">
        <v>1</v>
      </c>
      <c r="C35">
        <v>0</v>
      </c>
      <c r="G35">
        <v>1</v>
      </c>
    </row>
    <row r="36" spans="1:7" x14ac:dyDescent="0.3">
      <c r="A36" t="s">
        <v>40</v>
      </c>
      <c r="B36">
        <v>1</v>
      </c>
      <c r="C36">
        <v>-4</v>
      </c>
      <c r="D36">
        <v>1</v>
      </c>
    </row>
    <row r="37" spans="1:7" x14ac:dyDescent="0.3">
      <c r="A37" t="s">
        <v>40</v>
      </c>
      <c r="B37">
        <v>1</v>
      </c>
      <c r="C37">
        <v>-5</v>
      </c>
      <c r="D37">
        <v>1</v>
      </c>
    </row>
    <row r="38" spans="1:7" x14ac:dyDescent="0.3">
      <c r="A38" t="s">
        <v>40</v>
      </c>
      <c r="B38">
        <v>1</v>
      </c>
      <c r="C38">
        <v>-1</v>
      </c>
      <c r="D38">
        <v>1</v>
      </c>
    </row>
    <row r="39" spans="1:7" x14ac:dyDescent="0.3">
      <c r="A39" t="s">
        <v>40</v>
      </c>
      <c r="B39">
        <v>1</v>
      </c>
      <c r="C39">
        <v>-4</v>
      </c>
      <c r="D39">
        <v>1</v>
      </c>
    </row>
    <row r="40" spans="1:7" x14ac:dyDescent="0.3">
      <c r="A40" t="s">
        <v>33</v>
      </c>
      <c r="B40">
        <v>0</v>
      </c>
      <c r="C40">
        <v>4</v>
      </c>
      <c r="E40">
        <v>1</v>
      </c>
    </row>
    <row r="41" spans="1:7" x14ac:dyDescent="0.3">
      <c r="A41" t="s">
        <v>40</v>
      </c>
      <c r="B41">
        <v>1</v>
      </c>
      <c r="C41">
        <v>-4</v>
      </c>
      <c r="D41">
        <v>1</v>
      </c>
    </row>
    <row r="42" spans="1:7" x14ac:dyDescent="0.3">
      <c r="A42" t="s">
        <v>33</v>
      </c>
      <c r="B42">
        <v>1</v>
      </c>
      <c r="C42">
        <v>0</v>
      </c>
      <c r="G42">
        <v>1</v>
      </c>
    </row>
    <row r="43" spans="1:7" x14ac:dyDescent="0.3">
      <c r="A43" t="s">
        <v>33</v>
      </c>
      <c r="B43">
        <v>1</v>
      </c>
      <c r="C43">
        <v>0</v>
      </c>
      <c r="G43">
        <v>1</v>
      </c>
    </row>
    <row r="44" spans="1:7" x14ac:dyDescent="0.3">
      <c r="A44" t="s">
        <v>40</v>
      </c>
      <c r="B44">
        <v>1</v>
      </c>
      <c r="C44">
        <v>4</v>
      </c>
      <c r="D44">
        <v>1</v>
      </c>
    </row>
    <row r="45" spans="1:7" x14ac:dyDescent="0.3">
      <c r="A45" t="s">
        <v>40</v>
      </c>
      <c r="B45">
        <v>1</v>
      </c>
      <c r="C45">
        <v>2</v>
      </c>
      <c r="D45">
        <v>1</v>
      </c>
    </row>
    <row r="46" spans="1:7" x14ac:dyDescent="0.3">
      <c r="A46" t="s">
        <v>33</v>
      </c>
      <c r="B46">
        <v>1</v>
      </c>
      <c r="C46">
        <v>0</v>
      </c>
      <c r="G46">
        <v>1</v>
      </c>
    </row>
    <row r="47" spans="1:7" x14ac:dyDescent="0.3">
      <c r="A47" t="s">
        <v>33</v>
      </c>
      <c r="B47">
        <v>1</v>
      </c>
      <c r="C47">
        <v>0</v>
      </c>
      <c r="G47">
        <v>1</v>
      </c>
    </row>
    <row r="48" spans="1:7" x14ac:dyDescent="0.3">
      <c r="A48" t="s">
        <v>40</v>
      </c>
      <c r="B48">
        <v>1</v>
      </c>
      <c r="C48">
        <v>-4</v>
      </c>
      <c r="D48">
        <v>1</v>
      </c>
    </row>
    <row r="49" spans="1:7" x14ac:dyDescent="0.3">
      <c r="A49" t="s">
        <v>33</v>
      </c>
      <c r="B49">
        <v>1</v>
      </c>
      <c r="C49">
        <v>0</v>
      </c>
      <c r="G49">
        <v>1</v>
      </c>
    </row>
    <row r="50" spans="1:7" x14ac:dyDescent="0.3">
      <c r="A50" t="s">
        <v>33</v>
      </c>
      <c r="B50">
        <v>0</v>
      </c>
      <c r="C50">
        <v>3</v>
      </c>
      <c r="E50">
        <v>1</v>
      </c>
    </row>
    <row r="51" spans="1:7" x14ac:dyDescent="0.3">
      <c r="A51" t="s">
        <v>33</v>
      </c>
      <c r="B51">
        <v>1</v>
      </c>
      <c r="C51">
        <v>0</v>
      </c>
      <c r="G51">
        <v>1</v>
      </c>
    </row>
    <row r="52" spans="1:7" x14ac:dyDescent="0.3">
      <c r="A52" t="s">
        <v>40</v>
      </c>
      <c r="B52">
        <v>0</v>
      </c>
      <c r="C52">
        <v>0</v>
      </c>
      <c r="F52">
        <v>1</v>
      </c>
    </row>
    <row r="53" spans="1:7" x14ac:dyDescent="0.3">
      <c r="A53" t="s">
        <v>40</v>
      </c>
      <c r="B53">
        <v>1</v>
      </c>
      <c r="C53">
        <v>-2</v>
      </c>
      <c r="D53">
        <v>1</v>
      </c>
    </row>
    <row r="54" spans="1:7" x14ac:dyDescent="0.3">
      <c r="A54" t="s">
        <v>40</v>
      </c>
      <c r="B54">
        <v>0</v>
      </c>
      <c r="C54">
        <v>0</v>
      </c>
      <c r="F54">
        <v>1</v>
      </c>
    </row>
    <row r="55" spans="1:7" x14ac:dyDescent="0.3">
      <c r="A55" t="s">
        <v>33</v>
      </c>
      <c r="B55">
        <v>0</v>
      </c>
      <c r="C55">
        <v>-1</v>
      </c>
      <c r="E55">
        <v>1</v>
      </c>
    </row>
    <row r="56" spans="1:7" x14ac:dyDescent="0.3">
      <c r="A56" t="s">
        <v>33</v>
      </c>
      <c r="B56">
        <v>1</v>
      </c>
      <c r="C56">
        <v>0</v>
      </c>
      <c r="G56">
        <v>1</v>
      </c>
    </row>
    <row r="57" spans="1:7" x14ac:dyDescent="0.3">
      <c r="A57" t="s">
        <v>33</v>
      </c>
      <c r="B57">
        <v>1</v>
      </c>
      <c r="C57">
        <v>0</v>
      </c>
      <c r="G57">
        <v>1</v>
      </c>
    </row>
    <row r="58" spans="1:7" x14ac:dyDescent="0.3">
      <c r="A58" t="s">
        <v>33</v>
      </c>
      <c r="B58">
        <v>1</v>
      </c>
      <c r="C58">
        <v>0</v>
      </c>
      <c r="G58">
        <v>1</v>
      </c>
    </row>
    <row r="59" spans="1:7" x14ac:dyDescent="0.3">
      <c r="A59" t="s">
        <v>40</v>
      </c>
      <c r="B59">
        <v>1</v>
      </c>
      <c r="C59">
        <v>-5</v>
      </c>
      <c r="D59">
        <v>1</v>
      </c>
    </row>
    <row r="60" spans="1:7" x14ac:dyDescent="0.3">
      <c r="A60" t="s">
        <v>33</v>
      </c>
      <c r="B60">
        <v>1</v>
      </c>
      <c r="C60">
        <v>0</v>
      </c>
      <c r="G60">
        <v>1</v>
      </c>
    </row>
    <row r="61" spans="1:7" x14ac:dyDescent="0.3">
      <c r="A61" t="s">
        <v>33</v>
      </c>
      <c r="B61">
        <v>1</v>
      </c>
      <c r="C61">
        <v>0</v>
      </c>
      <c r="G61">
        <v>1</v>
      </c>
    </row>
    <row r="62" spans="1:7" x14ac:dyDescent="0.3">
      <c r="A62" t="s">
        <v>40</v>
      </c>
      <c r="B62">
        <v>1</v>
      </c>
      <c r="C62">
        <v>-2</v>
      </c>
      <c r="D62">
        <v>1</v>
      </c>
    </row>
    <row r="63" spans="1:7" x14ac:dyDescent="0.3">
      <c r="A63" t="s">
        <v>40</v>
      </c>
      <c r="B63">
        <v>1</v>
      </c>
      <c r="C63">
        <v>-4</v>
      </c>
      <c r="D63">
        <v>1</v>
      </c>
    </row>
    <row r="64" spans="1:7" x14ac:dyDescent="0.3">
      <c r="A64" t="s">
        <v>40</v>
      </c>
      <c r="B64">
        <v>1</v>
      </c>
      <c r="C64">
        <v>-4</v>
      </c>
      <c r="D64">
        <v>1</v>
      </c>
    </row>
    <row r="65" spans="1:7" x14ac:dyDescent="0.3">
      <c r="A65" t="s">
        <v>33</v>
      </c>
      <c r="B65">
        <v>1</v>
      </c>
      <c r="C65">
        <v>0</v>
      </c>
      <c r="G65">
        <v>1</v>
      </c>
    </row>
    <row r="66" spans="1:7" x14ac:dyDescent="0.3">
      <c r="A66" t="s">
        <v>40</v>
      </c>
      <c r="B66">
        <v>1</v>
      </c>
      <c r="C66">
        <v>3</v>
      </c>
      <c r="D66">
        <v>1</v>
      </c>
    </row>
    <row r="67" spans="1:7" x14ac:dyDescent="0.3">
      <c r="A67" t="s">
        <v>33</v>
      </c>
      <c r="B67">
        <v>1</v>
      </c>
      <c r="C67">
        <v>0</v>
      </c>
      <c r="G67">
        <v>1</v>
      </c>
    </row>
    <row r="68" spans="1:7" x14ac:dyDescent="0.3">
      <c r="A68" t="s">
        <v>33</v>
      </c>
      <c r="B68">
        <v>1</v>
      </c>
      <c r="C68">
        <v>0</v>
      </c>
      <c r="G68">
        <v>1</v>
      </c>
    </row>
    <row r="69" spans="1:7" x14ac:dyDescent="0.3">
      <c r="A69" t="s">
        <v>40</v>
      </c>
      <c r="B69">
        <v>1</v>
      </c>
      <c r="C69">
        <v>-3</v>
      </c>
      <c r="D69">
        <v>1</v>
      </c>
    </row>
    <row r="70" spans="1:7" x14ac:dyDescent="0.3">
      <c r="A70" t="s">
        <v>40</v>
      </c>
      <c r="B70">
        <v>1</v>
      </c>
      <c r="C70">
        <v>-1</v>
      </c>
      <c r="D70">
        <v>1</v>
      </c>
    </row>
    <row r="71" spans="1:7" x14ac:dyDescent="0.3">
      <c r="A71" t="s">
        <v>33</v>
      </c>
      <c r="B71">
        <v>1</v>
      </c>
      <c r="C71">
        <v>0</v>
      </c>
      <c r="G71">
        <v>1</v>
      </c>
    </row>
    <row r="72" spans="1:7" x14ac:dyDescent="0.3">
      <c r="A72" t="s">
        <v>33</v>
      </c>
      <c r="B72">
        <v>1</v>
      </c>
      <c r="C72">
        <v>0</v>
      </c>
      <c r="G72">
        <v>1</v>
      </c>
    </row>
    <row r="73" spans="1:7" x14ac:dyDescent="0.3">
      <c r="A73" t="s">
        <v>33</v>
      </c>
      <c r="B73">
        <v>1</v>
      </c>
      <c r="C73">
        <v>0</v>
      </c>
      <c r="G73">
        <v>1</v>
      </c>
    </row>
    <row r="74" spans="1:7" x14ac:dyDescent="0.3">
      <c r="A74" t="s">
        <v>33</v>
      </c>
      <c r="B74">
        <v>1</v>
      </c>
      <c r="C74">
        <v>0</v>
      </c>
      <c r="G74">
        <v>1</v>
      </c>
    </row>
    <row r="75" spans="1:7" x14ac:dyDescent="0.3">
      <c r="A75" t="s">
        <v>33</v>
      </c>
      <c r="B75">
        <v>1</v>
      </c>
      <c r="C75">
        <v>0</v>
      </c>
    </row>
    <row r="76" spans="1:7" x14ac:dyDescent="0.3">
      <c r="A76" t="s">
        <v>33</v>
      </c>
      <c r="B76">
        <v>1</v>
      </c>
      <c r="C76">
        <v>0</v>
      </c>
      <c r="G76">
        <v>1</v>
      </c>
    </row>
    <row r="77" spans="1:7" x14ac:dyDescent="0.3">
      <c r="A77" t="s">
        <v>40</v>
      </c>
      <c r="B77">
        <v>1</v>
      </c>
      <c r="C77">
        <v>3</v>
      </c>
      <c r="D77">
        <v>1</v>
      </c>
    </row>
    <row r="78" spans="1:7" x14ac:dyDescent="0.3">
      <c r="A78" t="s">
        <v>33</v>
      </c>
      <c r="B78">
        <v>1</v>
      </c>
      <c r="C78">
        <v>0</v>
      </c>
      <c r="G78">
        <v>1</v>
      </c>
    </row>
    <row r="79" spans="1:7" x14ac:dyDescent="0.3">
      <c r="A79" t="s">
        <v>33</v>
      </c>
      <c r="B79">
        <v>1</v>
      </c>
      <c r="C79">
        <v>0</v>
      </c>
      <c r="G79">
        <v>1</v>
      </c>
    </row>
    <row r="80" spans="1:7" x14ac:dyDescent="0.3">
      <c r="A80" t="s">
        <v>33</v>
      </c>
      <c r="B80">
        <v>0</v>
      </c>
      <c r="C80">
        <v>0</v>
      </c>
      <c r="G80">
        <v>1</v>
      </c>
    </row>
    <row r="81" spans="1:7" x14ac:dyDescent="0.3">
      <c r="A81" t="s">
        <v>40</v>
      </c>
      <c r="B81">
        <v>1</v>
      </c>
      <c r="C81">
        <v>-5</v>
      </c>
      <c r="D81">
        <v>1</v>
      </c>
    </row>
    <row r="82" spans="1:7" x14ac:dyDescent="0.3">
      <c r="A82" t="s">
        <v>33</v>
      </c>
      <c r="B82">
        <v>1</v>
      </c>
      <c r="C82">
        <v>0</v>
      </c>
      <c r="G82">
        <v>1</v>
      </c>
    </row>
    <row r="83" spans="1:7" x14ac:dyDescent="0.3">
      <c r="A83" t="s">
        <v>33</v>
      </c>
      <c r="B83">
        <v>0</v>
      </c>
      <c r="C83">
        <v>2</v>
      </c>
      <c r="E83">
        <v>1</v>
      </c>
    </row>
    <row r="84" spans="1:7" x14ac:dyDescent="0.3">
      <c r="A84" t="s">
        <v>40</v>
      </c>
      <c r="B84">
        <v>1</v>
      </c>
      <c r="C84">
        <v>-4</v>
      </c>
      <c r="D84">
        <v>1</v>
      </c>
    </row>
    <row r="85" spans="1:7" x14ac:dyDescent="0.3">
      <c r="A85" t="s">
        <v>33</v>
      </c>
      <c r="B85">
        <v>1</v>
      </c>
      <c r="C85">
        <v>0</v>
      </c>
      <c r="G85">
        <v>1</v>
      </c>
    </row>
    <row r="86" spans="1:7" x14ac:dyDescent="0.3">
      <c r="A86" t="s">
        <v>40</v>
      </c>
      <c r="B86">
        <v>1</v>
      </c>
      <c r="C86">
        <v>-2</v>
      </c>
      <c r="D86">
        <v>1</v>
      </c>
    </row>
    <row r="87" spans="1:7" x14ac:dyDescent="0.3">
      <c r="A87" t="s">
        <v>33</v>
      </c>
      <c r="B87">
        <v>0</v>
      </c>
      <c r="C87">
        <v>4</v>
      </c>
      <c r="E87">
        <v>1</v>
      </c>
    </row>
    <row r="88" spans="1:7" x14ac:dyDescent="0.3">
      <c r="A88" t="s">
        <v>40</v>
      </c>
      <c r="B88">
        <v>1</v>
      </c>
      <c r="C88">
        <v>4</v>
      </c>
      <c r="G88">
        <v>1</v>
      </c>
    </row>
    <row r="89" spans="1:7" x14ac:dyDescent="0.3">
      <c r="A89" t="s">
        <v>33</v>
      </c>
      <c r="B89">
        <v>1</v>
      </c>
      <c r="C89">
        <v>0</v>
      </c>
      <c r="D89">
        <v>1</v>
      </c>
    </row>
    <row r="90" spans="1:7" x14ac:dyDescent="0.3">
      <c r="A90" t="s">
        <v>33</v>
      </c>
      <c r="B90">
        <v>1</v>
      </c>
      <c r="C90">
        <v>0</v>
      </c>
      <c r="G90">
        <v>1</v>
      </c>
    </row>
    <row r="91" spans="1:7" x14ac:dyDescent="0.3">
      <c r="A91" t="s">
        <v>33</v>
      </c>
      <c r="B91">
        <v>1</v>
      </c>
      <c r="C91">
        <v>0</v>
      </c>
      <c r="G91">
        <v>1</v>
      </c>
    </row>
    <row r="92" spans="1:7" x14ac:dyDescent="0.3">
      <c r="A92" t="s">
        <v>33</v>
      </c>
      <c r="B92">
        <v>1</v>
      </c>
      <c r="C92">
        <v>0</v>
      </c>
      <c r="G92">
        <v>1</v>
      </c>
    </row>
    <row r="93" spans="1:7" x14ac:dyDescent="0.3">
      <c r="A93" t="s">
        <v>33</v>
      </c>
      <c r="B93">
        <v>1</v>
      </c>
      <c r="C93">
        <v>0</v>
      </c>
      <c r="G93">
        <v>1</v>
      </c>
    </row>
    <row r="94" spans="1:7" x14ac:dyDescent="0.3">
      <c r="A94" t="s">
        <v>40</v>
      </c>
      <c r="B94">
        <v>1</v>
      </c>
      <c r="C94">
        <v>-3</v>
      </c>
      <c r="G94">
        <v>1</v>
      </c>
    </row>
    <row r="95" spans="1:7" x14ac:dyDescent="0.3">
      <c r="A95" t="s">
        <v>40</v>
      </c>
      <c r="B95">
        <v>1</v>
      </c>
      <c r="C95">
        <v>-5</v>
      </c>
      <c r="D95">
        <v>1</v>
      </c>
    </row>
    <row r="96" spans="1:7" x14ac:dyDescent="0.3">
      <c r="A96" t="s">
        <v>33</v>
      </c>
      <c r="B96">
        <v>1</v>
      </c>
      <c r="C96">
        <v>0</v>
      </c>
      <c r="D96">
        <v>1</v>
      </c>
    </row>
    <row r="97" spans="1:7" x14ac:dyDescent="0.3">
      <c r="A97" t="s">
        <v>40</v>
      </c>
      <c r="B97">
        <v>1</v>
      </c>
      <c r="C97">
        <v>2</v>
      </c>
      <c r="G97">
        <v>1</v>
      </c>
    </row>
    <row r="98" spans="1:7" x14ac:dyDescent="0.3">
      <c r="A98" t="s">
        <v>33</v>
      </c>
      <c r="B98">
        <v>1</v>
      </c>
      <c r="C98">
        <v>0</v>
      </c>
      <c r="D98">
        <v>1</v>
      </c>
    </row>
    <row r="99" spans="1:7" x14ac:dyDescent="0.3">
      <c r="A99" t="s">
        <v>33</v>
      </c>
      <c r="B99">
        <v>1</v>
      </c>
      <c r="C99">
        <v>0</v>
      </c>
      <c r="G99">
        <v>1</v>
      </c>
    </row>
    <row r="100" spans="1:7" x14ac:dyDescent="0.3">
      <c r="A100" t="s">
        <v>33</v>
      </c>
      <c r="B100">
        <v>1</v>
      </c>
      <c r="C100">
        <v>0</v>
      </c>
      <c r="G100">
        <v>1</v>
      </c>
    </row>
    <row r="101" spans="1:7" x14ac:dyDescent="0.3">
      <c r="A101" t="s">
        <v>33</v>
      </c>
      <c r="B101">
        <v>1</v>
      </c>
      <c r="C101">
        <v>0</v>
      </c>
      <c r="G10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A1_tutorial_2_2026-09-27_22h21.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Aneri Upadhyay</dc:creator>
  <cp:lastModifiedBy>Aneri Upadhyay</cp:lastModifiedBy>
  <cp:lastPrinted>2026-10-06T14:46:07Z</cp:lastPrinted>
  <dcterms:created xsi:type="dcterms:W3CDTF">2026-09-27T16:54:48Z</dcterms:created>
  <dcterms:modified xsi:type="dcterms:W3CDTF">2026-10-06T19:12:30Z</dcterms:modified>
</cp:coreProperties>
</file>